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Rechner" sheetId="2" state="visible" r:id="rId2"/>
    <sheet xmlns:r="http://schemas.openxmlformats.org/officeDocument/2006/relationships" name="Beispiel" sheetId="3" state="visible" r:id="rId3"/>
    <sheet xmlns:r="http://schemas.openxmlformats.org/officeDocument/2006/relationships" name="Referenz" sheetId="4" state="visible" r:id="rId4"/>
    <sheet xmlns:r="http://schemas.openxmlformats.org/officeDocument/2006/relationships" name="Hinweise und Quellen" sheetId="5" state="visible" r:id="rId5"/>
  </sheets>
  <definedNames>
    <definedName name="_xlnm.Print_Titles" localSheetId="1">'Rechner'!$13:$13</definedName>
    <definedName name="_xlnm.Print_Area" localSheetId="1">'Rechner'!$A$1:$N$41</definedName>
    <definedName name="_xlnm.Print_Titles" localSheetId="2">'Beispiel'!$13:$13</definedName>
    <definedName name="_xlnm.Print_Area" localSheetId="2">'Beispiel'!$A$1:$N$41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;-0;;@"/>
    <numFmt numFmtId="166" formatCode="0.0000;-0.0000;;@"/>
    <numFmt numFmtId="167" formatCode="0.00;-0.00;;@"/>
    <numFmt numFmtId="168" formatCode="#,##0.00;-#,##0.00;;@"/>
    <numFmt numFmtId="169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0B1324"/>
      <sz val="18"/>
    </font>
    <font>
      <name val="Calibri"/>
      <color rgb="000B1324"/>
      <sz val="11"/>
    </font>
    <font>
      <name val="Calibri"/>
      <b val="1"/>
      <color rgb="00C2410C"/>
      <sz val="13"/>
    </font>
    <font>
      <name val="Calibri"/>
      <b val="1"/>
      <color rgb="000B1324"/>
      <sz val="11"/>
    </font>
    <font>
      <name val="Calibri"/>
      <color rgb="0064748B"/>
      <sz val="9"/>
    </font>
    <font>
      <name val="Calibri"/>
      <color rgb="001D4ED8"/>
      <sz val="11"/>
    </font>
    <font>
      <name val="Calibri"/>
      <b val="1"/>
      <color rgb="000B1324"/>
      <sz val="12"/>
    </font>
    <font>
      <name val="Calibri"/>
      <b val="1"/>
      <color rgb="00FFFFFF"/>
      <sz val="11"/>
    </font>
    <font>
      <name val="Calibri"/>
      <color rgb="00C2410C"/>
      <sz val="11"/>
      <u val="single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F1F5F9"/>
      </patternFill>
    </fill>
    <fill>
      <patternFill patternType="solid">
        <fgColor rgb="00FFF1E6"/>
      </patternFill>
    </fill>
    <fill>
      <patternFill patternType="solid">
        <fgColor rgb="000B132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2" borderId="1" applyAlignment="1" applyProtection="1" pivotButton="0" quotePrefix="0" xfId="0">
      <alignment horizontal="right"/>
      <protection locked="0" hidden="0"/>
    </xf>
    <xf numFmtId="2" fontId="7" fillId="4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2" fontId="6" fillId="2" borderId="1" applyAlignment="1" applyProtection="1" pivotButton="0" quotePrefix="0" xfId="0">
      <alignment horizontal="right"/>
      <protection locked="0" hidden="0"/>
    </xf>
    <xf numFmtId="1" fontId="4" fillId="3" borderId="1" applyAlignment="1" pivotButton="0" quotePrefix="0" xfId="0">
      <alignment horizontal="right"/>
    </xf>
    <xf numFmtId="4" fontId="7" fillId="4" borderId="1" applyAlignment="1" pivotButton="0" quotePrefix="0" xfId="0">
      <alignment horizontal="right"/>
    </xf>
    <xf numFmtId="3" fontId="6" fillId="2" borderId="1" applyAlignment="1" applyProtection="1" pivotButton="0" quotePrefix="0" xfId="0">
      <alignment horizontal="right"/>
      <protection locked="0" hidden="0"/>
    </xf>
    <xf numFmtId="2" fontId="4" fillId="3" borderId="1" applyAlignment="1" pivotButton="0" quotePrefix="0" xfId="0">
      <alignment horizontal="right"/>
    </xf>
    <xf numFmtId="164" fontId="6" fillId="2" borderId="1" applyAlignment="1" applyProtection="1" pivotButton="0" quotePrefix="0" xfId="0">
      <alignment horizontal="right"/>
      <protection locked="0" hidden="0"/>
    </xf>
    <xf numFmtId="0" fontId="5" fillId="3" borderId="1" pivotButton="0" quotePrefix="0" xfId="0"/>
    <xf numFmtId="0" fontId="5" fillId="0" borderId="0" applyAlignment="1" pivotButton="0" quotePrefix="0" xfId="0">
      <alignment/>
    </xf>
    <xf numFmtId="0" fontId="8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6" fillId="2" borderId="1" applyProtection="1" pivotButton="0" quotePrefix="0" xfId="0">
      <protection locked="0" hidden="0"/>
    </xf>
    <xf numFmtId="165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167" fontId="2" fillId="3" borderId="1" applyAlignment="1" pivotButton="0" quotePrefix="0" xfId="0">
      <alignment horizontal="right"/>
    </xf>
    <xf numFmtId="168" fontId="2" fillId="3" borderId="1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1" fontId="4" fillId="4" borderId="1" applyAlignment="1" pivotButton="0" quotePrefix="0" xfId="0">
      <alignment horizontal="right"/>
    </xf>
    <xf numFmtId="2" fontId="4" fillId="4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0" fontId="2" fillId="0" borderId="1" pivotButton="0" quotePrefix="0" xfId="0"/>
    <xf numFmtId="3" fontId="6" fillId="2" borderId="1" applyProtection="1" pivotButton="0" quotePrefix="0" xfId="0">
      <protection locked="0" hidden="0"/>
    </xf>
    <xf numFmtId="2" fontId="0" fillId="3" borderId="1" pivotButton="0" quotePrefix="0" xfId="0"/>
    <xf numFmtId="169" fontId="0" fillId="3" borderId="1" pivotButton="0" quotePrefix="0" xfId="0"/>
    <xf numFmtId="0" fontId="0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lademeter-rechner.de/methodik/" TargetMode="External" Id="rId1"/><Relationship Type="http://schemas.openxmlformats.org/officeDocument/2006/relationships/hyperlink" Target="https://de.wikipedia.org/wiki/Lademeter" TargetMode="External" Id="rId2"/><Relationship Type="http://schemas.openxmlformats.org/officeDocument/2006/relationships/hyperlink" Target="https://www.chemie.de/lexikon/Lademeter.html" TargetMode="External" Id="rId3"/></Relationships>
</file>

<file path=xl/worksheets/sheet1.xml><?xml version="1.0" encoding="utf-8"?>
<worksheet xmlns="http://schemas.openxmlformats.org/spreadsheetml/2006/main">
  <sheetPr>
    <tabColor rgb="000B1324"/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Lademeter berechnen – Excel-Vorlage</t>
        </is>
      </c>
    </row>
    <row r="3" ht="30" customHeight="1">
      <c r="A3" s="2" t="inlineStr">
        <is>
          <t>Version 1.0 · Stand 20.10.2026 · kostenlos nutzbar (siehe Lizenz auf dem Blatt „Hinweise und Quellen“) · https://lademeter-rechner.de</t>
        </is>
      </c>
    </row>
    <row r="4">
      <c r="A4" s="3" t="inlineStr">
        <is>
          <t>So funktioniert die Vorlage</t>
        </is>
      </c>
    </row>
    <row r="5" ht="30" customHeight="1">
      <c r="A5" s="2" t="inlineStr">
        <is>
          <t>1. Blatt „Rechner“ öffnen. Oben die Maßeinheit wählen (mm, cm oder m). Optional den Umrechnungsfaktor Ihrer Spedition in kg je Lademeter eintragen.</t>
        </is>
      </c>
    </row>
    <row r="6" ht="30" customHeight="1">
      <c r="A6" s="2" t="inlineStr">
        <is>
          <t>2. Je Ladungsposition eine Zeile ausfüllen: Länge, Breite, Anzahl (Pflicht) sowie Stapellagen, Höhe und Gewicht je Stück (optional). Stapellagen 1 = nicht stapelbar.</t>
        </is>
      </c>
    </row>
    <row r="7" ht="30" customHeight="1">
      <c r="A7" s="2" t="inlineStr">
        <is>
          <t>3. Das Ergebnis erscheint oben: Lademeter, Bodenstellplätze, Grundfläche, Volumen, Gewicht sowie – mit Faktor – Lademetergewicht und frachtpflichtiges Gewicht.</t>
        </is>
      </c>
    </row>
    <row r="8" ht="30" customHeight="1">
      <c r="A8" s="2" t="inlineStr">
        <is>
          <t>4. Das Blatt „Beispiel“ zeigt eine ausgefüllte Beispielsendung mit demselben Aufbau. Das Blatt „Referenz“ listet die Lademeter gängiger Paletten.</t>
        </is>
      </c>
    </row>
    <row r="9">
      <c r="A9" s="3" t="inlineStr">
        <is>
          <t>Die Formeln</t>
        </is>
      </c>
    </row>
    <row r="10" ht="15" customHeight="1">
      <c r="A10" s="4" t="inlineStr">
        <is>
          <t>Bodenstellplätze = Anzahl ÷ Stapellagen, aufgerundet</t>
        </is>
      </c>
    </row>
    <row r="11" ht="15" customHeight="1">
      <c r="A11" s="4" t="inlineStr">
        <is>
          <t>Lademeter je Position = Länge [m] × Breite [m] ÷ 2,40 m × Bodenstellplätze</t>
        </is>
      </c>
    </row>
    <row r="12" ht="15" customHeight="1">
      <c r="A12" s="4" t="inlineStr">
        <is>
          <t>Lademetergewicht = Lademeter × Faktor [kg/ldm]</t>
        </is>
      </c>
    </row>
    <row r="13" ht="15" customHeight="1">
      <c r="A13" s="4" t="inlineStr">
        <is>
          <t>Frachtpflichtiges Gewicht = höherer Wert aus tatsächlichem Gewicht und Lademetergewicht</t>
        </is>
      </c>
    </row>
    <row r="14" ht="45" customHeight="1">
      <c r="A14" s="2" t="inlineStr">
        <is>
          <t>Beispiel: Eine Europalette (1,20 m × 0,80 m) belegt 1,20 × 0,80 ÷ 2,40 = 0,40 Lademeter. Zehn Europaletten nebeneinander ohne Stapeln sind 4,0 Lademeter; zweilagig gestapelt (5 Bodenstellplätze) sind es 2,0 Lademeter.</t>
        </is>
      </c>
    </row>
    <row r="15">
      <c r="A15" s="3" t="inlineStr">
        <is>
          <t>Wichtige Hinweise</t>
        </is>
      </c>
    </row>
    <row r="16" ht="30" customHeight="1">
      <c r="A16" s="2" t="inlineStr">
        <is>
          <t>• Die Referenzbreite von 2,40 m ist eine in der Branche übliche Planungsgröße, keine Norm. Der Wert lässt sich ändern, wenn Ihre Spedition etwas anderes vorgibt.</t>
        </is>
      </c>
    </row>
    <row r="17" ht="30" customHeight="1">
      <c r="A17" s="2" t="inlineStr">
        <is>
          <t>• Gestapelte Positionen zählen nur mit ihren Bodenstellplätzen. Prüfen Sie selbst, ob Innenhöhe, Belastbarkeit und Ladungssicherung die Lagenzahl erlauben und ob Ihre Spedition gestapelte Ware so abrechnet.</t>
        </is>
      </c>
    </row>
    <row r="18" ht="30" customHeight="1">
      <c r="A18" s="2" t="inlineStr">
        <is>
          <t>• Der Umrechnungsfaktor ist eine Tarifregel der jeweiligen Spedition (häufig genannt werden 1.500 bis 2.000 kg je Lademeter). Im Beispiel wird 1.850 kg verwendet; das ist ein Beispielwert, kein Standard.</t>
        </is>
      </c>
    </row>
    <row r="19" ht="45" customHeight="1">
      <c r="A19" s="2" t="inlineStr">
        <is>
          <t>• Das Ergebnis ist eine rechnerische Planungshilfe. Es ersetzt keinen Ladeplan, keine Achslastprüfung und keine Ladungssicherung. Speditionen runden Lademeter für die Abrechnung teilweise auf; die Vorlage zeigt den genauen Wert.</t>
        </is>
      </c>
    </row>
    <row r="20" ht="30" customHeight="1">
      <c r="A20" s="2" t="inlineStr">
        <is>
          <t>• Zellen mit Formeln sind geschützt (ohne Kennwort: Überprüfen &gt; Blattschutz aufheben), damit sie nicht versehentlich überschrieben werden.</t>
        </is>
      </c>
    </row>
    <row r="21" ht="30" customHeight="1">
      <c r="A21" s="2" t="inlineStr">
        <is>
          <t>• Dezimalzahlen: Verwenden Sie das Dezimalzeichen Ihrer Excel-Spracheinstellung (in Deutschland das Komma).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A1:N41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  <col width="16" customWidth="1" min="9" max="9"/>
    <col width="14" customWidth="1" min="10" max="10"/>
    <col width="14" customWidth="1" min="11" max="11"/>
    <col width="14" customWidth="1" min="12" max="12"/>
    <col width="15" customWidth="1" min="13" max="13"/>
    <col width="44" customWidth="1" min="14" max="14"/>
  </cols>
  <sheetData>
    <row r="1">
      <c r="A1" s="1" t="inlineStr">
        <is>
          <t>Lademeter berechnen – Excel-Vorlage</t>
        </is>
      </c>
    </row>
    <row r="2">
      <c r="A2" s="5" t="inlineStr">
        <is>
          <t>Blau hinterlegte Zellen sind Eingaben, graue Zellen werden berechnet. Rechenweg und Hinweise: Blatt „Anleitung“. Online-Rechner und Erklärungen: https://lademeter-rechner.de</t>
        </is>
      </c>
    </row>
    <row r="3">
      <c r="A3" s="6" t="inlineStr">
        <is>
          <t>Einstellungen</t>
        </is>
      </c>
      <c r="E3" s="6" t="inlineStr">
        <is>
          <t>Ergebnis</t>
        </is>
      </c>
    </row>
    <row r="4">
      <c r="B4" s="7" t="inlineStr">
        <is>
          <t>Maßeinheit der Eingaben (mm, cm, m)</t>
        </is>
      </c>
      <c r="C4" s="8" t="inlineStr">
        <is>
          <t>cm</t>
        </is>
      </c>
      <c r="E4" s="6" t="inlineStr">
        <is>
          <t>Lademeter gesamt (ldm)</t>
        </is>
      </c>
      <c r="H4" s="9">
        <f>ROUND(SUM(J14:J38),2)</f>
        <v/>
      </c>
      <c r="J4" s="7" t="inlineStr">
        <is>
          <t>Lademetergewicht (kg)</t>
        </is>
      </c>
      <c r="M4" s="10">
        <f>IF(AND(ISNUMBER($C$6),$C$6&gt;0,SUM(J14:J38)&gt;0),ROUND(SUM(J14:J38)*$C$6,2),"–")</f>
        <v/>
      </c>
    </row>
    <row r="5">
      <c r="B5" s="7" t="inlineStr">
        <is>
          <t>Referenzbreite der Ladefläche (m)</t>
        </is>
      </c>
      <c r="C5" s="11" t="n">
        <v>2.4</v>
      </c>
      <c r="E5" s="7" t="inlineStr">
        <is>
          <t>Bodenstellplätze gesamt</t>
        </is>
      </c>
      <c r="H5" s="12">
        <f>SUM(I14:I38)</f>
        <v/>
      </c>
      <c r="J5" s="6" t="inlineStr">
        <is>
          <t>Frachtpflichtiges Gewicht (kg)</t>
        </is>
      </c>
      <c r="M5" s="13">
        <f>IF(AND(ISNUMBER($C$6),$C$6&gt;0,SUM(J14:J38)&gt;0),ROUND(MAX(SUM(M14:M38),SUM(J14:J38)*$C$6),2),"–")</f>
        <v/>
      </c>
    </row>
    <row r="6">
      <c r="B6" s="7" t="inlineStr">
        <is>
          <t>Umrechnungsfaktor kg/ldm (optional)</t>
        </is>
      </c>
      <c r="C6" s="14" t="n"/>
      <c r="E6" s="7" t="inlineStr">
        <is>
          <t>Grundfläche gesamt (m²)</t>
        </is>
      </c>
      <c r="H6" s="15">
        <f>ROUND(SUM(K14:K38),2)</f>
        <v/>
      </c>
      <c r="J6" s="7" t="inlineStr">
        <is>
          <t>Anteil Vergleichsfahrzeug (%)</t>
        </is>
      </c>
      <c r="M6" s="15">
        <f>IF(SUM(J14:J38)&gt;0,ROUND(SUM(J14:J38)/$C$7*100,2),"–")</f>
        <v/>
      </c>
    </row>
    <row r="7">
      <c r="B7" s="7" t="inlineStr">
        <is>
          <t>Ladelänge Vergleichsfahrzeug (m)</t>
        </is>
      </c>
      <c r="C7" s="16" t="n">
        <v>13.6</v>
      </c>
      <c r="E7" s="7" t="inlineStr">
        <is>
          <t>Volumen gesamt (m³) *</t>
        </is>
      </c>
      <c r="H7" s="15">
        <f>ROUND(SUM(L14:L38),2)</f>
        <v/>
      </c>
      <c r="J7" s="7" t="inlineStr">
        <is>
          <t>Rest-Lademeter (Vergleichsfzg.)</t>
        </is>
      </c>
      <c r="M7" s="15">
        <f>IF(SUM(J14:J38)&gt;0,ROUND($C$7-SUM(J14:J38),2),"–")</f>
        <v/>
      </c>
    </row>
    <row r="8">
      <c r="B8" s="5" t="inlineStr">
        <is>
          <t>Hilfswert: Divisor zur Umrechnung in m</t>
        </is>
      </c>
      <c r="C8" s="17">
        <f>IF(C4="mm",1000,IF(C4="cm",100,1))</f>
        <v/>
      </c>
      <c r="E8" s="7" t="inlineStr">
        <is>
          <t>Tatsächliches Gewicht (kg) *</t>
        </is>
      </c>
      <c r="H8" s="10">
        <f>ROUND(SUM(M14:M38),2)</f>
        <v/>
      </c>
      <c r="J8" s="18">
        <f>IF(SUM(J14:J38)=0,"Bitte Positionen eintragen.",IF(SUM(J14:J38)&gt;$C$7,"Achtung: Die Sendung überschreitet die Ladelänge des Vergleichsfahrzeugs.","Die Sendung passt rechnerisch auf die Ladelänge des Vergleichsfahrzeugs (nur Fläche, keine Gewichts- oder Sicherungsprüfung)."))</f>
        <v/>
      </c>
    </row>
    <row r="9">
      <c r="E9" s="5" t="inlineStr">
        <is>
          <t>* nur Positionen mit Höhen- bzw. Gewichtsangabe. Frachtpflichtiges Gewicht = höherer Wert aus tatsächlichem Gewicht und Lademeter × Faktor.</t>
        </is>
      </c>
    </row>
    <row r="12">
      <c r="A12" s="6" t="inlineStr">
        <is>
          <t>Ladungspositionen (bis zu 25)</t>
        </is>
      </c>
    </row>
    <row r="13" ht="44" customHeight="1">
      <c r="A13" s="19" t="inlineStr">
        <is>
          <t>Nr.</t>
        </is>
      </c>
      <c r="B13" s="19" t="inlineStr">
        <is>
          <t>Bezeichnung</t>
        </is>
      </c>
      <c r="C13" s="19" t="inlineStr">
        <is>
          <t>Länge</t>
        </is>
      </c>
      <c r="D13" s="19" t="inlineStr">
        <is>
          <t>Breite</t>
        </is>
      </c>
      <c r="E13" s="19" t="inlineStr">
        <is>
          <t>Höhe (optional)</t>
        </is>
      </c>
      <c r="F13" s="19" t="inlineStr">
        <is>
          <t>Anzahl</t>
        </is>
      </c>
      <c r="G13" s="19" t="inlineStr">
        <is>
          <t>Stapellagen</t>
        </is>
      </c>
      <c r="H13" s="19" t="inlineStr">
        <is>
          <t>Gewicht je Stück (kg, optional)</t>
        </is>
      </c>
      <c r="I13" s="19" t="inlineStr">
        <is>
          <t>Bodenstellplätze</t>
        </is>
      </c>
      <c r="J13" s="19" t="inlineStr">
        <is>
          <t>Lademeter (ldm)</t>
        </is>
      </c>
      <c r="K13" s="19" t="inlineStr">
        <is>
          <t>Grundfläche (m²)</t>
        </is>
      </c>
      <c r="L13" s="19" t="inlineStr">
        <is>
          <t>Volumen (m³)</t>
        </is>
      </c>
      <c r="M13" s="19" t="inlineStr">
        <is>
          <t>Gewicht gesamt (kg)</t>
        </is>
      </c>
      <c r="N13" s="19" t="inlineStr">
        <is>
          <t>Prüfhinweis</t>
        </is>
      </c>
    </row>
    <row r="14">
      <c r="A14" s="20" t="n">
        <v>1</v>
      </c>
      <c r="B14" s="21" t="n"/>
      <c r="C14" s="8" t="n"/>
      <c r="D14" s="8" t="n"/>
      <c r="E14" s="8" t="n"/>
      <c r="F14" s="8" t="n"/>
      <c r="G14" s="8" t="n"/>
      <c r="H14" s="8" t="n"/>
      <c r="I14" s="22">
        <f>IF(AND(ISNUMBER(C14),C14&gt;0,ISNUMBER(D14),D14&gt;0,ISNUMBER(F14),F14&gt;0),ROUNDUP(F14/MAX(1,INT(IF(AND(ISNUMBER(G14),G14&gt;0),G14,1))),0),0)</f>
        <v/>
      </c>
      <c r="J14" s="23">
        <f>IF(I14&gt;0,(C14/$C$8)*(D14/$C$8)/$C$5*I14,0)</f>
        <v/>
      </c>
      <c r="K14" s="24">
        <f>IF(I14&gt;0,(C14/$C$8)*(D14/$C$8)*I14,0)</f>
        <v/>
      </c>
      <c r="L14" s="24">
        <f>IF(AND(I14&gt;0,ISNUMBER(E14),E14&gt;0),(C14/$C$8)*(D14/$C$8)*(E14/$C$8)*F14,0)</f>
        <v/>
      </c>
      <c r="M14" s="25">
        <f>IF(AND(I14&gt;0,ISNUMBER(H14),H14&gt;0),H14*F14,0)</f>
        <v/>
      </c>
      <c r="N14" s="17">
        <f>IF(COUNTA(B14:H14)=0,"",TRIM(IF(I14=0,"Länge, Breite und Anzahl prüfen. ","")&amp;IF(AND(ISNUMBER(D14),D14/$C$8&gt;$C$5),"Breite größer als Referenzbreite – Fahrzeug prüfen. ","")&amp;IF(AND(ISNUMBER(C14),ISNUMBER(D14),MAX(C14,D14)/$C$8&gt;$C$7),"Länger als Vergleichsfahrzeug. ","")&amp;IF(AND(ISNUMBER(G14),G14&gt;1,I14&gt;0),"Gestapelt gerechnet – Innenhöhe und Sicherung prüfen. ","")))</f>
        <v/>
      </c>
    </row>
    <row r="15">
      <c r="A15" s="20" t="n">
        <v>2</v>
      </c>
      <c r="B15" s="21" t="n"/>
      <c r="C15" s="8" t="n"/>
      <c r="D15" s="8" t="n"/>
      <c r="E15" s="8" t="n"/>
      <c r="F15" s="8" t="n"/>
      <c r="G15" s="8" t="n"/>
      <c r="H15" s="8" t="n"/>
      <c r="I15" s="22">
        <f>IF(AND(ISNUMBER(C15),C15&gt;0,ISNUMBER(D15),D15&gt;0,ISNUMBER(F15),F15&gt;0),ROUNDUP(F15/MAX(1,INT(IF(AND(ISNUMBER(G15),G15&gt;0),G15,1))),0),0)</f>
        <v/>
      </c>
      <c r="J15" s="23">
        <f>IF(I15&gt;0,(C15/$C$8)*(D15/$C$8)/$C$5*I15,0)</f>
        <v/>
      </c>
      <c r="K15" s="24">
        <f>IF(I15&gt;0,(C15/$C$8)*(D15/$C$8)*I15,0)</f>
        <v/>
      </c>
      <c r="L15" s="24">
        <f>IF(AND(I15&gt;0,ISNUMBER(E15),E15&gt;0),(C15/$C$8)*(D15/$C$8)*(E15/$C$8)*F15,0)</f>
        <v/>
      </c>
      <c r="M15" s="25">
        <f>IF(AND(I15&gt;0,ISNUMBER(H15),H15&gt;0),H15*F15,0)</f>
        <v/>
      </c>
      <c r="N15" s="17">
        <f>IF(COUNTA(B15:H15)=0,"",TRIM(IF(I15=0,"Länge, Breite und Anzahl prüfen. ","")&amp;IF(AND(ISNUMBER(D15),D15/$C$8&gt;$C$5),"Breite größer als Referenzbreite – Fahrzeug prüfen. ","")&amp;IF(AND(ISNUMBER(C15),ISNUMBER(D15),MAX(C15,D15)/$C$8&gt;$C$7),"Länger als Vergleichsfahrzeug. ","")&amp;IF(AND(ISNUMBER(G15),G15&gt;1,I15&gt;0),"Gestapelt gerechnet – Innenhöhe und Sicherung prüfen. ","")))</f>
        <v/>
      </c>
    </row>
    <row r="16">
      <c r="A16" s="20" t="n">
        <v>3</v>
      </c>
      <c r="B16" s="21" t="n"/>
      <c r="C16" s="8" t="n"/>
      <c r="D16" s="8" t="n"/>
      <c r="E16" s="8" t="n"/>
      <c r="F16" s="8" t="n"/>
      <c r="G16" s="8" t="n"/>
      <c r="H16" s="8" t="n"/>
      <c r="I16" s="22">
        <f>IF(AND(ISNUMBER(C16),C16&gt;0,ISNUMBER(D16),D16&gt;0,ISNUMBER(F16),F16&gt;0),ROUNDUP(F16/MAX(1,INT(IF(AND(ISNUMBER(G16),G16&gt;0),G16,1))),0),0)</f>
        <v/>
      </c>
      <c r="J16" s="23">
        <f>IF(I16&gt;0,(C16/$C$8)*(D16/$C$8)/$C$5*I16,0)</f>
        <v/>
      </c>
      <c r="K16" s="24">
        <f>IF(I16&gt;0,(C16/$C$8)*(D16/$C$8)*I16,0)</f>
        <v/>
      </c>
      <c r="L16" s="24">
        <f>IF(AND(I16&gt;0,ISNUMBER(E16),E16&gt;0),(C16/$C$8)*(D16/$C$8)*(E16/$C$8)*F16,0)</f>
        <v/>
      </c>
      <c r="M16" s="25">
        <f>IF(AND(I16&gt;0,ISNUMBER(H16),H16&gt;0),H16*F16,0)</f>
        <v/>
      </c>
      <c r="N16" s="17">
        <f>IF(COUNTA(B16:H16)=0,"",TRIM(IF(I16=0,"Länge, Breite und Anzahl prüfen. ","")&amp;IF(AND(ISNUMBER(D16),D16/$C$8&gt;$C$5),"Breite größer als Referenzbreite – Fahrzeug prüfen. ","")&amp;IF(AND(ISNUMBER(C16),ISNUMBER(D16),MAX(C16,D16)/$C$8&gt;$C$7),"Länger als Vergleichsfahrzeug. ","")&amp;IF(AND(ISNUMBER(G16),G16&gt;1,I16&gt;0),"Gestapelt gerechnet – Innenhöhe und Sicherung prüfen. ","")))</f>
        <v/>
      </c>
    </row>
    <row r="17">
      <c r="A17" s="20" t="n">
        <v>4</v>
      </c>
      <c r="B17" s="21" t="n"/>
      <c r="C17" s="8" t="n"/>
      <c r="D17" s="8" t="n"/>
      <c r="E17" s="8" t="n"/>
      <c r="F17" s="8" t="n"/>
      <c r="G17" s="8" t="n"/>
      <c r="H17" s="8" t="n"/>
      <c r="I17" s="22">
        <f>IF(AND(ISNUMBER(C17),C17&gt;0,ISNUMBER(D17),D17&gt;0,ISNUMBER(F17),F17&gt;0),ROUNDUP(F17/MAX(1,INT(IF(AND(ISNUMBER(G17),G17&gt;0),G17,1))),0),0)</f>
        <v/>
      </c>
      <c r="J17" s="23">
        <f>IF(I17&gt;0,(C17/$C$8)*(D17/$C$8)/$C$5*I17,0)</f>
        <v/>
      </c>
      <c r="K17" s="24">
        <f>IF(I17&gt;0,(C17/$C$8)*(D17/$C$8)*I17,0)</f>
        <v/>
      </c>
      <c r="L17" s="24">
        <f>IF(AND(I17&gt;0,ISNUMBER(E17),E17&gt;0),(C17/$C$8)*(D17/$C$8)*(E17/$C$8)*F17,0)</f>
        <v/>
      </c>
      <c r="M17" s="25">
        <f>IF(AND(I17&gt;0,ISNUMBER(H17),H17&gt;0),H17*F17,0)</f>
        <v/>
      </c>
      <c r="N17" s="17">
        <f>IF(COUNTA(B17:H17)=0,"",TRIM(IF(I17=0,"Länge, Breite und Anzahl prüfen. ","")&amp;IF(AND(ISNUMBER(D17),D17/$C$8&gt;$C$5),"Breite größer als Referenzbreite – Fahrzeug prüfen. ","")&amp;IF(AND(ISNUMBER(C17),ISNUMBER(D17),MAX(C17,D17)/$C$8&gt;$C$7),"Länger als Vergleichsfahrzeug. ","")&amp;IF(AND(ISNUMBER(G17),G17&gt;1,I17&gt;0),"Gestapelt gerechnet – Innenhöhe und Sicherung prüfen. ","")))</f>
        <v/>
      </c>
    </row>
    <row r="18">
      <c r="A18" s="20" t="n">
        <v>5</v>
      </c>
      <c r="B18" s="21" t="n"/>
      <c r="C18" s="8" t="n"/>
      <c r="D18" s="8" t="n"/>
      <c r="E18" s="8" t="n"/>
      <c r="F18" s="8" t="n"/>
      <c r="G18" s="8" t="n"/>
      <c r="H18" s="8" t="n"/>
      <c r="I18" s="22">
        <f>IF(AND(ISNUMBER(C18),C18&gt;0,ISNUMBER(D18),D18&gt;0,ISNUMBER(F18),F18&gt;0),ROUNDUP(F18/MAX(1,INT(IF(AND(ISNUMBER(G18),G18&gt;0),G18,1))),0),0)</f>
        <v/>
      </c>
      <c r="J18" s="23">
        <f>IF(I18&gt;0,(C18/$C$8)*(D18/$C$8)/$C$5*I18,0)</f>
        <v/>
      </c>
      <c r="K18" s="24">
        <f>IF(I18&gt;0,(C18/$C$8)*(D18/$C$8)*I18,0)</f>
        <v/>
      </c>
      <c r="L18" s="24">
        <f>IF(AND(I18&gt;0,ISNUMBER(E18),E18&gt;0),(C18/$C$8)*(D18/$C$8)*(E18/$C$8)*F18,0)</f>
        <v/>
      </c>
      <c r="M18" s="25">
        <f>IF(AND(I18&gt;0,ISNUMBER(H18),H18&gt;0),H18*F18,0)</f>
        <v/>
      </c>
      <c r="N18" s="17">
        <f>IF(COUNTA(B18:H18)=0,"",TRIM(IF(I18=0,"Länge, Breite und Anzahl prüfen. ","")&amp;IF(AND(ISNUMBER(D18),D18/$C$8&gt;$C$5),"Breite größer als Referenzbreite – Fahrzeug prüfen. ","")&amp;IF(AND(ISNUMBER(C18),ISNUMBER(D18),MAX(C18,D18)/$C$8&gt;$C$7),"Länger als Vergleichsfahrzeug. ","")&amp;IF(AND(ISNUMBER(G18),G18&gt;1,I18&gt;0),"Gestapelt gerechnet – Innenhöhe und Sicherung prüfen. ","")))</f>
        <v/>
      </c>
    </row>
    <row r="19">
      <c r="A19" s="20" t="n">
        <v>6</v>
      </c>
      <c r="B19" s="21" t="n"/>
      <c r="C19" s="8" t="n"/>
      <c r="D19" s="8" t="n"/>
      <c r="E19" s="8" t="n"/>
      <c r="F19" s="8" t="n"/>
      <c r="G19" s="8" t="n"/>
      <c r="H19" s="8" t="n"/>
      <c r="I19" s="22">
        <f>IF(AND(ISNUMBER(C19),C19&gt;0,ISNUMBER(D19),D19&gt;0,ISNUMBER(F19),F19&gt;0),ROUNDUP(F19/MAX(1,INT(IF(AND(ISNUMBER(G19),G19&gt;0),G19,1))),0),0)</f>
        <v/>
      </c>
      <c r="J19" s="23">
        <f>IF(I19&gt;0,(C19/$C$8)*(D19/$C$8)/$C$5*I19,0)</f>
        <v/>
      </c>
      <c r="K19" s="24">
        <f>IF(I19&gt;0,(C19/$C$8)*(D19/$C$8)*I19,0)</f>
        <v/>
      </c>
      <c r="L19" s="24">
        <f>IF(AND(I19&gt;0,ISNUMBER(E19),E19&gt;0),(C19/$C$8)*(D19/$C$8)*(E19/$C$8)*F19,0)</f>
        <v/>
      </c>
      <c r="M19" s="25">
        <f>IF(AND(I19&gt;0,ISNUMBER(H19),H19&gt;0),H19*F19,0)</f>
        <v/>
      </c>
      <c r="N19" s="17">
        <f>IF(COUNTA(B19:H19)=0,"",TRIM(IF(I19=0,"Länge, Breite und Anzahl prüfen. ","")&amp;IF(AND(ISNUMBER(D19),D19/$C$8&gt;$C$5),"Breite größer als Referenzbreite – Fahrzeug prüfen. ","")&amp;IF(AND(ISNUMBER(C19),ISNUMBER(D19),MAX(C19,D19)/$C$8&gt;$C$7),"Länger als Vergleichsfahrzeug. ","")&amp;IF(AND(ISNUMBER(G19),G19&gt;1,I19&gt;0),"Gestapelt gerechnet – Innenhöhe und Sicherung prüfen. ","")))</f>
        <v/>
      </c>
    </row>
    <row r="20">
      <c r="A20" s="20" t="n">
        <v>7</v>
      </c>
      <c r="B20" s="21" t="n"/>
      <c r="C20" s="8" t="n"/>
      <c r="D20" s="8" t="n"/>
      <c r="E20" s="8" t="n"/>
      <c r="F20" s="8" t="n"/>
      <c r="G20" s="8" t="n"/>
      <c r="H20" s="8" t="n"/>
      <c r="I20" s="22">
        <f>IF(AND(ISNUMBER(C20),C20&gt;0,ISNUMBER(D20),D20&gt;0,ISNUMBER(F20),F20&gt;0),ROUNDUP(F20/MAX(1,INT(IF(AND(ISNUMBER(G20),G20&gt;0),G20,1))),0),0)</f>
        <v/>
      </c>
      <c r="J20" s="23">
        <f>IF(I20&gt;0,(C20/$C$8)*(D20/$C$8)/$C$5*I20,0)</f>
        <v/>
      </c>
      <c r="K20" s="24">
        <f>IF(I20&gt;0,(C20/$C$8)*(D20/$C$8)*I20,0)</f>
        <v/>
      </c>
      <c r="L20" s="24">
        <f>IF(AND(I20&gt;0,ISNUMBER(E20),E20&gt;0),(C20/$C$8)*(D20/$C$8)*(E20/$C$8)*F20,0)</f>
        <v/>
      </c>
      <c r="M20" s="25">
        <f>IF(AND(I20&gt;0,ISNUMBER(H20),H20&gt;0),H20*F20,0)</f>
        <v/>
      </c>
      <c r="N20" s="17">
        <f>IF(COUNTA(B20:H20)=0,"",TRIM(IF(I20=0,"Länge, Breite und Anzahl prüfen. ","")&amp;IF(AND(ISNUMBER(D20),D20/$C$8&gt;$C$5),"Breite größer als Referenzbreite – Fahrzeug prüfen. ","")&amp;IF(AND(ISNUMBER(C20),ISNUMBER(D20),MAX(C20,D20)/$C$8&gt;$C$7),"Länger als Vergleichsfahrzeug. ","")&amp;IF(AND(ISNUMBER(G20),G20&gt;1,I20&gt;0),"Gestapelt gerechnet – Innenhöhe und Sicherung prüfen. ","")))</f>
        <v/>
      </c>
    </row>
    <row r="21">
      <c r="A21" s="20" t="n">
        <v>8</v>
      </c>
      <c r="B21" s="21" t="n"/>
      <c r="C21" s="8" t="n"/>
      <c r="D21" s="8" t="n"/>
      <c r="E21" s="8" t="n"/>
      <c r="F21" s="8" t="n"/>
      <c r="G21" s="8" t="n"/>
      <c r="H21" s="8" t="n"/>
      <c r="I21" s="22">
        <f>IF(AND(ISNUMBER(C21),C21&gt;0,ISNUMBER(D21),D21&gt;0,ISNUMBER(F21),F21&gt;0),ROUNDUP(F21/MAX(1,INT(IF(AND(ISNUMBER(G21),G21&gt;0),G21,1))),0),0)</f>
        <v/>
      </c>
      <c r="J21" s="23">
        <f>IF(I21&gt;0,(C21/$C$8)*(D21/$C$8)/$C$5*I21,0)</f>
        <v/>
      </c>
      <c r="K21" s="24">
        <f>IF(I21&gt;0,(C21/$C$8)*(D21/$C$8)*I21,0)</f>
        <v/>
      </c>
      <c r="L21" s="24">
        <f>IF(AND(I21&gt;0,ISNUMBER(E21),E21&gt;0),(C21/$C$8)*(D21/$C$8)*(E21/$C$8)*F21,0)</f>
        <v/>
      </c>
      <c r="M21" s="25">
        <f>IF(AND(I21&gt;0,ISNUMBER(H21),H21&gt;0),H21*F21,0)</f>
        <v/>
      </c>
      <c r="N21" s="17">
        <f>IF(COUNTA(B21:H21)=0,"",TRIM(IF(I21=0,"Länge, Breite und Anzahl prüfen. ","")&amp;IF(AND(ISNUMBER(D21),D21/$C$8&gt;$C$5),"Breite größer als Referenzbreite – Fahrzeug prüfen. ","")&amp;IF(AND(ISNUMBER(C21),ISNUMBER(D21),MAX(C21,D21)/$C$8&gt;$C$7),"Länger als Vergleichsfahrzeug. ","")&amp;IF(AND(ISNUMBER(G21),G21&gt;1,I21&gt;0),"Gestapelt gerechnet – Innenhöhe und Sicherung prüfen. ","")))</f>
        <v/>
      </c>
    </row>
    <row r="22">
      <c r="A22" s="20" t="n">
        <v>9</v>
      </c>
      <c r="B22" s="21" t="n"/>
      <c r="C22" s="8" t="n"/>
      <c r="D22" s="8" t="n"/>
      <c r="E22" s="8" t="n"/>
      <c r="F22" s="8" t="n"/>
      <c r="G22" s="8" t="n"/>
      <c r="H22" s="8" t="n"/>
      <c r="I22" s="22">
        <f>IF(AND(ISNUMBER(C22),C22&gt;0,ISNUMBER(D22),D22&gt;0,ISNUMBER(F22),F22&gt;0),ROUNDUP(F22/MAX(1,INT(IF(AND(ISNUMBER(G22),G22&gt;0),G22,1))),0),0)</f>
        <v/>
      </c>
      <c r="J22" s="23">
        <f>IF(I22&gt;0,(C22/$C$8)*(D22/$C$8)/$C$5*I22,0)</f>
        <v/>
      </c>
      <c r="K22" s="24">
        <f>IF(I22&gt;0,(C22/$C$8)*(D22/$C$8)*I22,0)</f>
        <v/>
      </c>
      <c r="L22" s="24">
        <f>IF(AND(I22&gt;0,ISNUMBER(E22),E22&gt;0),(C22/$C$8)*(D22/$C$8)*(E22/$C$8)*F22,0)</f>
        <v/>
      </c>
      <c r="M22" s="25">
        <f>IF(AND(I22&gt;0,ISNUMBER(H22),H22&gt;0),H22*F22,0)</f>
        <v/>
      </c>
      <c r="N22" s="17">
        <f>IF(COUNTA(B22:H22)=0,"",TRIM(IF(I22=0,"Länge, Breite und Anzahl prüfen. ","")&amp;IF(AND(ISNUMBER(D22),D22/$C$8&gt;$C$5),"Breite größer als Referenzbreite – Fahrzeug prüfen. ","")&amp;IF(AND(ISNUMBER(C22),ISNUMBER(D22),MAX(C22,D22)/$C$8&gt;$C$7),"Länger als Vergleichsfahrzeug. ","")&amp;IF(AND(ISNUMBER(G22),G22&gt;1,I22&gt;0),"Gestapelt gerechnet – Innenhöhe und Sicherung prüfen. ","")))</f>
        <v/>
      </c>
    </row>
    <row r="23">
      <c r="A23" s="20" t="n">
        <v>10</v>
      </c>
      <c r="B23" s="21" t="n"/>
      <c r="C23" s="8" t="n"/>
      <c r="D23" s="8" t="n"/>
      <c r="E23" s="8" t="n"/>
      <c r="F23" s="8" t="n"/>
      <c r="G23" s="8" t="n"/>
      <c r="H23" s="8" t="n"/>
      <c r="I23" s="22">
        <f>IF(AND(ISNUMBER(C23),C23&gt;0,ISNUMBER(D23),D23&gt;0,ISNUMBER(F23),F23&gt;0),ROUNDUP(F23/MAX(1,INT(IF(AND(ISNUMBER(G23),G23&gt;0),G23,1))),0),0)</f>
        <v/>
      </c>
      <c r="J23" s="23">
        <f>IF(I23&gt;0,(C23/$C$8)*(D23/$C$8)/$C$5*I23,0)</f>
        <v/>
      </c>
      <c r="K23" s="24">
        <f>IF(I23&gt;0,(C23/$C$8)*(D23/$C$8)*I23,0)</f>
        <v/>
      </c>
      <c r="L23" s="24">
        <f>IF(AND(I23&gt;0,ISNUMBER(E23),E23&gt;0),(C23/$C$8)*(D23/$C$8)*(E23/$C$8)*F23,0)</f>
        <v/>
      </c>
      <c r="M23" s="25">
        <f>IF(AND(I23&gt;0,ISNUMBER(H23),H23&gt;0),H23*F23,0)</f>
        <v/>
      </c>
      <c r="N23" s="17">
        <f>IF(COUNTA(B23:H23)=0,"",TRIM(IF(I23=0,"Länge, Breite und Anzahl prüfen. ","")&amp;IF(AND(ISNUMBER(D23),D23/$C$8&gt;$C$5),"Breite größer als Referenzbreite – Fahrzeug prüfen. ","")&amp;IF(AND(ISNUMBER(C23),ISNUMBER(D23),MAX(C23,D23)/$C$8&gt;$C$7),"Länger als Vergleichsfahrzeug. ","")&amp;IF(AND(ISNUMBER(G23),G23&gt;1,I23&gt;0),"Gestapelt gerechnet – Innenhöhe und Sicherung prüfen. ","")))</f>
        <v/>
      </c>
    </row>
    <row r="24">
      <c r="A24" s="20" t="n">
        <v>11</v>
      </c>
      <c r="B24" s="21" t="n"/>
      <c r="C24" s="8" t="n"/>
      <c r="D24" s="8" t="n"/>
      <c r="E24" s="8" t="n"/>
      <c r="F24" s="8" t="n"/>
      <c r="G24" s="8" t="n"/>
      <c r="H24" s="8" t="n"/>
      <c r="I24" s="22">
        <f>IF(AND(ISNUMBER(C24),C24&gt;0,ISNUMBER(D24),D24&gt;0,ISNUMBER(F24),F24&gt;0),ROUNDUP(F24/MAX(1,INT(IF(AND(ISNUMBER(G24),G24&gt;0),G24,1))),0),0)</f>
        <v/>
      </c>
      <c r="J24" s="23">
        <f>IF(I24&gt;0,(C24/$C$8)*(D24/$C$8)/$C$5*I24,0)</f>
        <v/>
      </c>
      <c r="K24" s="24">
        <f>IF(I24&gt;0,(C24/$C$8)*(D24/$C$8)*I24,0)</f>
        <v/>
      </c>
      <c r="L24" s="24">
        <f>IF(AND(I24&gt;0,ISNUMBER(E24),E24&gt;0),(C24/$C$8)*(D24/$C$8)*(E24/$C$8)*F24,0)</f>
        <v/>
      </c>
      <c r="M24" s="25">
        <f>IF(AND(I24&gt;0,ISNUMBER(H24),H24&gt;0),H24*F24,0)</f>
        <v/>
      </c>
      <c r="N24" s="17">
        <f>IF(COUNTA(B24:H24)=0,"",TRIM(IF(I24=0,"Länge, Breite und Anzahl prüfen. ","")&amp;IF(AND(ISNUMBER(D24),D24/$C$8&gt;$C$5),"Breite größer als Referenzbreite – Fahrzeug prüfen. ","")&amp;IF(AND(ISNUMBER(C24),ISNUMBER(D24),MAX(C24,D24)/$C$8&gt;$C$7),"Länger als Vergleichsfahrzeug. ","")&amp;IF(AND(ISNUMBER(G24),G24&gt;1,I24&gt;0),"Gestapelt gerechnet – Innenhöhe und Sicherung prüfen. ","")))</f>
        <v/>
      </c>
    </row>
    <row r="25">
      <c r="A25" s="20" t="n">
        <v>12</v>
      </c>
      <c r="B25" s="21" t="n"/>
      <c r="C25" s="8" t="n"/>
      <c r="D25" s="8" t="n"/>
      <c r="E25" s="8" t="n"/>
      <c r="F25" s="8" t="n"/>
      <c r="G25" s="8" t="n"/>
      <c r="H25" s="8" t="n"/>
      <c r="I25" s="22">
        <f>IF(AND(ISNUMBER(C25),C25&gt;0,ISNUMBER(D25),D25&gt;0,ISNUMBER(F25),F25&gt;0),ROUNDUP(F25/MAX(1,INT(IF(AND(ISNUMBER(G25),G25&gt;0),G25,1))),0),0)</f>
        <v/>
      </c>
      <c r="J25" s="23">
        <f>IF(I25&gt;0,(C25/$C$8)*(D25/$C$8)/$C$5*I25,0)</f>
        <v/>
      </c>
      <c r="K25" s="24">
        <f>IF(I25&gt;0,(C25/$C$8)*(D25/$C$8)*I25,0)</f>
        <v/>
      </c>
      <c r="L25" s="24">
        <f>IF(AND(I25&gt;0,ISNUMBER(E25),E25&gt;0),(C25/$C$8)*(D25/$C$8)*(E25/$C$8)*F25,0)</f>
        <v/>
      </c>
      <c r="M25" s="25">
        <f>IF(AND(I25&gt;0,ISNUMBER(H25),H25&gt;0),H25*F25,0)</f>
        <v/>
      </c>
      <c r="N25" s="17">
        <f>IF(COUNTA(B25:H25)=0,"",TRIM(IF(I25=0,"Länge, Breite und Anzahl prüfen. ","")&amp;IF(AND(ISNUMBER(D25),D25/$C$8&gt;$C$5),"Breite größer als Referenzbreite – Fahrzeug prüfen. ","")&amp;IF(AND(ISNUMBER(C25),ISNUMBER(D25),MAX(C25,D25)/$C$8&gt;$C$7),"Länger als Vergleichsfahrzeug. ","")&amp;IF(AND(ISNUMBER(G25),G25&gt;1,I25&gt;0),"Gestapelt gerechnet – Innenhöhe und Sicherung prüfen. ","")))</f>
        <v/>
      </c>
    </row>
    <row r="26">
      <c r="A26" s="20" t="n">
        <v>13</v>
      </c>
      <c r="B26" s="21" t="n"/>
      <c r="C26" s="8" t="n"/>
      <c r="D26" s="8" t="n"/>
      <c r="E26" s="8" t="n"/>
      <c r="F26" s="8" t="n"/>
      <c r="G26" s="8" t="n"/>
      <c r="H26" s="8" t="n"/>
      <c r="I26" s="22">
        <f>IF(AND(ISNUMBER(C26),C26&gt;0,ISNUMBER(D26),D26&gt;0,ISNUMBER(F26),F26&gt;0),ROUNDUP(F26/MAX(1,INT(IF(AND(ISNUMBER(G26),G26&gt;0),G26,1))),0),0)</f>
        <v/>
      </c>
      <c r="J26" s="23">
        <f>IF(I26&gt;0,(C26/$C$8)*(D26/$C$8)/$C$5*I26,0)</f>
        <v/>
      </c>
      <c r="K26" s="24">
        <f>IF(I26&gt;0,(C26/$C$8)*(D26/$C$8)*I26,0)</f>
        <v/>
      </c>
      <c r="L26" s="24">
        <f>IF(AND(I26&gt;0,ISNUMBER(E26),E26&gt;0),(C26/$C$8)*(D26/$C$8)*(E26/$C$8)*F26,0)</f>
        <v/>
      </c>
      <c r="M26" s="25">
        <f>IF(AND(I26&gt;0,ISNUMBER(H26),H26&gt;0),H26*F26,0)</f>
        <v/>
      </c>
      <c r="N26" s="17">
        <f>IF(COUNTA(B26:H26)=0,"",TRIM(IF(I26=0,"Länge, Breite und Anzahl prüfen. ","")&amp;IF(AND(ISNUMBER(D26),D26/$C$8&gt;$C$5),"Breite größer als Referenzbreite – Fahrzeug prüfen. ","")&amp;IF(AND(ISNUMBER(C26),ISNUMBER(D26),MAX(C26,D26)/$C$8&gt;$C$7),"Länger als Vergleichsfahrzeug. ","")&amp;IF(AND(ISNUMBER(G26),G26&gt;1,I26&gt;0),"Gestapelt gerechnet – Innenhöhe und Sicherung prüfen. ","")))</f>
        <v/>
      </c>
    </row>
    <row r="27">
      <c r="A27" s="20" t="n">
        <v>14</v>
      </c>
      <c r="B27" s="21" t="n"/>
      <c r="C27" s="8" t="n"/>
      <c r="D27" s="8" t="n"/>
      <c r="E27" s="8" t="n"/>
      <c r="F27" s="8" t="n"/>
      <c r="G27" s="8" t="n"/>
      <c r="H27" s="8" t="n"/>
      <c r="I27" s="22">
        <f>IF(AND(ISNUMBER(C27),C27&gt;0,ISNUMBER(D27),D27&gt;0,ISNUMBER(F27),F27&gt;0),ROUNDUP(F27/MAX(1,INT(IF(AND(ISNUMBER(G27),G27&gt;0),G27,1))),0),0)</f>
        <v/>
      </c>
      <c r="J27" s="23">
        <f>IF(I27&gt;0,(C27/$C$8)*(D27/$C$8)/$C$5*I27,0)</f>
        <v/>
      </c>
      <c r="K27" s="24">
        <f>IF(I27&gt;0,(C27/$C$8)*(D27/$C$8)*I27,0)</f>
        <v/>
      </c>
      <c r="L27" s="24">
        <f>IF(AND(I27&gt;0,ISNUMBER(E27),E27&gt;0),(C27/$C$8)*(D27/$C$8)*(E27/$C$8)*F27,0)</f>
        <v/>
      </c>
      <c r="M27" s="25">
        <f>IF(AND(I27&gt;0,ISNUMBER(H27),H27&gt;0),H27*F27,0)</f>
        <v/>
      </c>
      <c r="N27" s="17">
        <f>IF(COUNTA(B27:H27)=0,"",TRIM(IF(I27=0,"Länge, Breite und Anzahl prüfen. ","")&amp;IF(AND(ISNUMBER(D27),D27/$C$8&gt;$C$5),"Breite größer als Referenzbreite – Fahrzeug prüfen. ","")&amp;IF(AND(ISNUMBER(C27),ISNUMBER(D27),MAX(C27,D27)/$C$8&gt;$C$7),"Länger als Vergleichsfahrzeug. ","")&amp;IF(AND(ISNUMBER(G27),G27&gt;1,I27&gt;0),"Gestapelt gerechnet – Innenhöhe und Sicherung prüfen. ","")))</f>
        <v/>
      </c>
    </row>
    <row r="28">
      <c r="A28" s="20" t="n">
        <v>15</v>
      </c>
      <c r="B28" s="21" t="n"/>
      <c r="C28" s="8" t="n"/>
      <c r="D28" s="8" t="n"/>
      <c r="E28" s="8" t="n"/>
      <c r="F28" s="8" t="n"/>
      <c r="G28" s="8" t="n"/>
      <c r="H28" s="8" t="n"/>
      <c r="I28" s="22">
        <f>IF(AND(ISNUMBER(C28),C28&gt;0,ISNUMBER(D28),D28&gt;0,ISNUMBER(F28),F28&gt;0),ROUNDUP(F28/MAX(1,INT(IF(AND(ISNUMBER(G28),G28&gt;0),G28,1))),0),0)</f>
        <v/>
      </c>
      <c r="J28" s="23">
        <f>IF(I28&gt;0,(C28/$C$8)*(D28/$C$8)/$C$5*I28,0)</f>
        <v/>
      </c>
      <c r="K28" s="24">
        <f>IF(I28&gt;0,(C28/$C$8)*(D28/$C$8)*I28,0)</f>
        <v/>
      </c>
      <c r="L28" s="24">
        <f>IF(AND(I28&gt;0,ISNUMBER(E28),E28&gt;0),(C28/$C$8)*(D28/$C$8)*(E28/$C$8)*F28,0)</f>
        <v/>
      </c>
      <c r="M28" s="25">
        <f>IF(AND(I28&gt;0,ISNUMBER(H28),H28&gt;0),H28*F28,0)</f>
        <v/>
      </c>
      <c r="N28" s="17">
        <f>IF(COUNTA(B28:H28)=0,"",TRIM(IF(I28=0,"Länge, Breite und Anzahl prüfen. ","")&amp;IF(AND(ISNUMBER(D28),D28/$C$8&gt;$C$5),"Breite größer als Referenzbreite – Fahrzeug prüfen. ","")&amp;IF(AND(ISNUMBER(C28),ISNUMBER(D28),MAX(C28,D28)/$C$8&gt;$C$7),"Länger als Vergleichsfahrzeug. ","")&amp;IF(AND(ISNUMBER(G28),G28&gt;1,I28&gt;0),"Gestapelt gerechnet – Innenhöhe und Sicherung prüfen. ","")))</f>
        <v/>
      </c>
    </row>
    <row r="29">
      <c r="A29" s="20" t="n">
        <v>16</v>
      </c>
      <c r="B29" s="21" t="n"/>
      <c r="C29" s="8" t="n"/>
      <c r="D29" s="8" t="n"/>
      <c r="E29" s="8" t="n"/>
      <c r="F29" s="8" t="n"/>
      <c r="G29" s="8" t="n"/>
      <c r="H29" s="8" t="n"/>
      <c r="I29" s="22">
        <f>IF(AND(ISNUMBER(C29),C29&gt;0,ISNUMBER(D29),D29&gt;0,ISNUMBER(F29),F29&gt;0),ROUNDUP(F29/MAX(1,INT(IF(AND(ISNUMBER(G29),G29&gt;0),G29,1))),0),0)</f>
        <v/>
      </c>
      <c r="J29" s="23">
        <f>IF(I29&gt;0,(C29/$C$8)*(D29/$C$8)/$C$5*I29,0)</f>
        <v/>
      </c>
      <c r="K29" s="24">
        <f>IF(I29&gt;0,(C29/$C$8)*(D29/$C$8)*I29,0)</f>
        <v/>
      </c>
      <c r="L29" s="24">
        <f>IF(AND(I29&gt;0,ISNUMBER(E29),E29&gt;0),(C29/$C$8)*(D29/$C$8)*(E29/$C$8)*F29,0)</f>
        <v/>
      </c>
      <c r="M29" s="25">
        <f>IF(AND(I29&gt;0,ISNUMBER(H29),H29&gt;0),H29*F29,0)</f>
        <v/>
      </c>
      <c r="N29" s="17">
        <f>IF(COUNTA(B29:H29)=0,"",TRIM(IF(I29=0,"Länge, Breite und Anzahl prüfen. ","")&amp;IF(AND(ISNUMBER(D29),D29/$C$8&gt;$C$5),"Breite größer als Referenzbreite – Fahrzeug prüfen. ","")&amp;IF(AND(ISNUMBER(C29),ISNUMBER(D29),MAX(C29,D29)/$C$8&gt;$C$7),"Länger als Vergleichsfahrzeug. ","")&amp;IF(AND(ISNUMBER(G29),G29&gt;1,I29&gt;0),"Gestapelt gerechnet – Innenhöhe und Sicherung prüfen. ","")))</f>
        <v/>
      </c>
    </row>
    <row r="30">
      <c r="A30" s="20" t="n">
        <v>17</v>
      </c>
      <c r="B30" s="21" t="n"/>
      <c r="C30" s="8" t="n"/>
      <c r="D30" s="8" t="n"/>
      <c r="E30" s="8" t="n"/>
      <c r="F30" s="8" t="n"/>
      <c r="G30" s="8" t="n"/>
      <c r="H30" s="8" t="n"/>
      <c r="I30" s="22">
        <f>IF(AND(ISNUMBER(C30),C30&gt;0,ISNUMBER(D30),D30&gt;0,ISNUMBER(F30),F30&gt;0),ROUNDUP(F30/MAX(1,INT(IF(AND(ISNUMBER(G30),G30&gt;0),G30,1))),0),0)</f>
        <v/>
      </c>
      <c r="J30" s="23">
        <f>IF(I30&gt;0,(C30/$C$8)*(D30/$C$8)/$C$5*I30,0)</f>
        <v/>
      </c>
      <c r="K30" s="24">
        <f>IF(I30&gt;0,(C30/$C$8)*(D30/$C$8)*I30,0)</f>
        <v/>
      </c>
      <c r="L30" s="24">
        <f>IF(AND(I30&gt;0,ISNUMBER(E30),E30&gt;0),(C30/$C$8)*(D30/$C$8)*(E30/$C$8)*F30,0)</f>
        <v/>
      </c>
      <c r="M30" s="25">
        <f>IF(AND(I30&gt;0,ISNUMBER(H30),H30&gt;0),H30*F30,0)</f>
        <v/>
      </c>
      <c r="N30" s="17">
        <f>IF(COUNTA(B30:H30)=0,"",TRIM(IF(I30=0,"Länge, Breite und Anzahl prüfen. ","")&amp;IF(AND(ISNUMBER(D30),D30/$C$8&gt;$C$5),"Breite größer als Referenzbreite – Fahrzeug prüfen. ","")&amp;IF(AND(ISNUMBER(C30),ISNUMBER(D30),MAX(C30,D30)/$C$8&gt;$C$7),"Länger als Vergleichsfahrzeug. ","")&amp;IF(AND(ISNUMBER(G30),G30&gt;1,I30&gt;0),"Gestapelt gerechnet – Innenhöhe und Sicherung prüfen. ","")))</f>
        <v/>
      </c>
    </row>
    <row r="31">
      <c r="A31" s="20" t="n">
        <v>18</v>
      </c>
      <c r="B31" s="21" t="n"/>
      <c r="C31" s="8" t="n"/>
      <c r="D31" s="8" t="n"/>
      <c r="E31" s="8" t="n"/>
      <c r="F31" s="8" t="n"/>
      <c r="G31" s="8" t="n"/>
      <c r="H31" s="8" t="n"/>
      <c r="I31" s="22">
        <f>IF(AND(ISNUMBER(C31),C31&gt;0,ISNUMBER(D31),D31&gt;0,ISNUMBER(F31),F31&gt;0),ROUNDUP(F31/MAX(1,INT(IF(AND(ISNUMBER(G31),G31&gt;0),G31,1))),0),0)</f>
        <v/>
      </c>
      <c r="J31" s="23">
        <f>IF(I31&gt;0,(C31/$C$8)*(D31/$C$8)/$C$5*I31,0)</f>
        <v/>
      </c>
      <c r="K31" s="24">
        <f>IF(I31&gt;0,(C31/$C$8)*(D31/$C$8)*I31,0)</f>
        <v/>
      </c>
      <c r="L31" s="24">
        <f>IF(AND(I31&gt;0,ISNUMBER(E31),E31&gt;0),(C31/$C$8)*(D31/$C$8)*(E31/$C$8)*F31,0)</f>
        <v/>
      </c>
      <c r="M31" s="25">
        <f>IF(AND(I31&gt;0,ISNUMBER(H31),H31&gt;0),H31*F31,0)</f>
        <v/>
      </c>
      <c r="N31" s="17">
        <f>IF(COUNTA(B31:H31)=0,"",TRIM(IF(I31=0,"Länge, Breite und Anzahl prüfen. ","")&amp;IF(AND(ISNUMBER(D31),D31/$C$8&gt;$C$5),"Breite größer als Referenzbreite – Fahrzeug prüfen. ","")&amp;IF(AND(ISNUMBER(C31),ISNUMBER(D31),MAX(C31,D31)/$C$8&gt;$C$7),"Länger als Vergleichsfahrzeug. ","")&amp;IF(AND(ISNUMBER(G31),G31&gt;1,I31&gt;0),"Gestapelt gerechnet – Innenhöhe und Sicherung prüfen. ","")))</f>
        <v/>
      </c>
    </row>
    <row r="32">
      <c r="A32" s="20" t="n">
        <v>19</v>
      </c>
      <c r="B32" s="21" t="n"/>
      <c r="C32" s="8" t="n"/>
      <c r="D32" s="8" t="n"/>
      <c r="E32" s="8" t="n"/>
      <c r="F32" s="8" t="n"/>
      <c r="G32" s="8" t="n"/>
      <c r="H32" s="8" t="n"/>
      <c r="I32" s="22">
        <f>IF(AND(ISNUMBER(C32),C32&gt;0,ISNUMBER(D32),D32&gt;0,ISNUMBER(F32),F32&gt;0),ROUNDUP(F32/MAX(1,INT(IF(AND(ISNUMBER(G32),G32&gt;0),G32,1))),0),0)</f>
        <v/>
      </c>
      <c r="J32" s="23">
        <f>IF(I32&gt;0,(C32/$C$8)*(D32/$C$8)/$C$5*I32,0)</f>
        <v/>
      </c>
      <c r="K32" s="24">
        <f>IF(I32&gt;0,(C32/$C$8)*(D32/$C$8)*I32,0)</f>
        <v/>
      </c>
      <c r="L32" s="24">
        <f>IF(AND(I32&gt;0,ISNUMBER(E32),E32&gt;0),(C32/$C$8)*(D32/$C$8)*(E32/$C$8)*F32,0)</f>
        <v/>
      </c>
      <c r="M32" s="25">
        <f>IF(AND(I32&gt;0,ISNUMBER(H32),H32&gt;0),H32*F32,0)</f>
        <v/>
      </c>
      <c r="N32" s="17">
        <f>IF(COUNTA(B32:H32)=0,"",TRIM(IF(I32=0,"Länge, Breite und Anzahl prüfen. ","")&amp;IF(AND(ISNUMBER(D32),D32/$C$8&gt;$C$5),"Breite größer als Referenzbreite – Fahrzeug prüfen. ","")&amp;IF(AND(ISNUMBER(C32),ISNUMBER(D32),MAX(C32,D32)/$C$8&gt;$C$7),"Länger als Vergleichsfahrzeug. ","")&amp;IF(AND(ISNUMBER(G32),G32&gt;1,I32&gt;0),"Gestapelt gerechnet – Innenhöhe und Sicherung prüfen. ","")))</f>
        <v/>
      </c>
    </row>
    <row r="33">
      <c r="A33" s="20" t="n">
        <v>20</v>
      </c>
      <c r="B33" s="21" t="n"/>
      <c r="C33" s="8" t="n"/>
      <c r="D33" s="8" t="n"/>
      <c r="E33" s="8" t="n"/>
      <c r="F33" s="8" t="n"/>
      <c r="G33" s="8" t="n"/>
      <c r="H33" s="8" t="n"/>
      <c r="I33" s="22">
        <f>IF(AND(ISNUMBER(C33),C33&gt;0,ISNUMBER(D33),D33&gt;0,ISNUMBER(F33),F33&gt;0),ROUNDUP(F33/MAX(1,INT(IF(AND(ISNUMBER(G33),G33&gt;0),G33,1))),0),0)</f>
        <v/>
      </c>
      <c r="J33" s="23">
        <f>IF(I33&gt;0,(C33/$C$8)*(D33/$C$8)/$C$5*I33,0)</f>
        <v/>
      </c>
      <c r="K33" s="24">
        <f>IF(I33&gt;0,(C33/$C$8)*(D33/$C$8)*I33,0)</f>
        <v/>
      </c>
      <c r="L33" s="24">
        <f>IF(AND(I33&gt;0,ISNUMBER(E33),E33&gt;0),(C33/$C$8)*(D33/$C$8)*(E33/$C$8)*F33,0)</f>
        <v/>
      </c>
      <c r="M33" s="25">
        <f>IF(AND(I33&gt;0,ISNUMBER(H33),H33&gt;0),H33*F33,0)</f>
        <v/>
      </c>
      <c r="N33" s="17">
        <f>IF(COUNTA(B33:H33)=0,"",TRIM(IF(I33=0,"Länge, Breite und Anzahl prüfen. ","")&amp;IF(AND(ISNUMBER(D33),D33/$C$8&gt;$C$5),"Breite größer als Referenzbreite – Fahrzeug prüfen. ","")&amp;IF(AND(ISNUMBER(C33),ISNUMBER(D33),MAX(C33,D33)/$C$8&gt;$C$7),"Länger als Vergleichsfahrzeug. ","")&amp;IF(AND(ISNUMBER(G33),G33&gt;1,I33&gt;0),"Gestapelt gerechnet – Innenhöhe und Sicherung prüfen. ","")))</f>
        <v/>
      </c>
    </row>
    <row r="34">
      <c r="A34" s="20" t="n">
        <v>21</v>
      </c>
      <c r="B34" s="21" t="n"/>
      <c r="C34" s="8" t="n"/>
      <c r="D34" s="8" t="n"/>
      <c r="E34" s="8" t="n"/>
      <c r="F34" s="8" t="n"/>
      <c r="G34" s="8" t="n"/>
      <c r="H34" s="8" t="n"/>
      <c r="I34" s="22">
        <f>IF(AND(ISNUMBER(C34),C34&gt;0,ISNUMBER(D34),D34&gt;0,ISNUMBER(F34),F34&gt;0),ROUNDUP(F34/MAX(1,INT(IF(AND(ISNUMBER(G34),G34&gt;0),G34,1))),0),0)</f>
        <v/>
      </c>
      <c r="J34" s="23">
        <f>IF(I34&gt;0,(C34/$C$8)*(D34/$C$8)/$C$5*I34,0)</f>
        <v/>
      </c>
      <c r="K34" s="24">
        <f>IF(I34&gt;0,(C34/$C$8)*(D34/$C$8)*I34,0)</f>
        <v/>
      </c>
      <c r="L34" s="24">
        <f>IF(AND(I34&gt;0,ISNUMBER(E34),E34&gt;0),(C34/$C$8)*(D34/$C$8)*(E34/$C$8)*F34,0)</f>
        <v/>
      </c>
      <c r="M34" s="25">
        <f>IF(AND(I34&gt;0,ISNUMBER(H34),H34&gt;0),H34*F34,0)</f>
        <v/>
      </c>
      <c r="N34" s="17">
        <f>IF(COUNTA(B34:H34)=0,"",TRIM(IF(I34=0,"Länge, Breite und Anzahl prüfen. ","")&amp;IF(AND(ISNUMBER(D34),D34/$C$8&gt;$C$5),"Breite größer als Referenzbreite – Fahrzeug prüfen. ","")&amp;IF(AND(ISNUMBER(C34),ISNUMBER(D34),MAX(C34,D34)/$C$8&gt;$C$7),"Länger als Vergleichsfahrzeug. ","")&amp;IF(AND(ISNUMBER(G34),G34&gt;1,I34&gt;0),"Gestapelt gerechnet – Innenhöhe und Sicherung prüfen. ","")))</f>
        <v/>
      </c>
    </row>
    <row r="35">
      <c r="A35" s="20" t="n">
        <v>22</v>
      </c>
      <c r="B35" s="21" t="n"/>
      <c r="C35" s="8" t="n"/>
      <c r="D35" s="8" t="n"/>
      <c r="E35" s="8" t="n"/>
      <c r="F35" s="8" t="n"/>
      <c r="G35" s="8" t="n"/>
      <c r="H35" s="8" t="n"/>
      <c r="I35" s="22">
        <f>IF(AND(ISNUMBER(C35),C35&gt;0,ISNUMBER(D35),D35&gt;0,ISNUMBER(F35),F35&gt;0),ROUNDUP(F35/MAX(1,INT(IF(AND(ISNUMBER(G35),G35&gt;0),G35,1))),0),0)</f>
        <v/>
      </c>
      <c r="J35" s="23">
        <f>IF(I35&gt;0,(C35/$C$8)*(D35/$C$8)/$C$5*I35,0)</f>
        <v/>
      </c>
      <c r="K35" s="24">
        <f>IF(I35&gt;0,(C35/$C$8)*(D35/$C$8)*I35,0)</f>
        <v/>
      </c>
      <c r="L35" s="24">
        <f>IF(AND(I35&gt;0,ISNUMBER(E35),E35&gt;0),(C35/$C$8)*(D35/$C$8)*(E35/$C$8)*F35,0)</f>
        <v/>
      </c>
      <c r="M35" s="25">
        <f>IF(AND(I35&gt;0,ISNUMBER(H35),H35&gt;0),H35*F35,0)</f>
        <v/>
      </c>
      <c r="N35" s="17">
        <f>IF(COUNTA(B35:H35)=0,"",TRIM(IF(I35=0,"Länge, Breite und Anzahl prüfen. ","")&amp;IF(AND(ISNUMBER(D35),D35/$C$8&gt;$C$5),"Breite größer als Referenzbreite – Fahrzeug prüfen. ","")&amp;IF(AND(ISNUMBER(C35),ISNUMBER(D35),MAX(C35,D35)/$C$8&gt;$C$7),"Länger als Vergleichsfahrzeug. ","")&amp;IF(AND(ISNUMBER(G35),G35&gt;1,I35&gt;0),"Gestapelt gerechnet – Innenhöhe und Sicherung prüfen. ","")))</f>
        <v/>
      </c>
    </row>
    <row r="36">
      <c r="A36" s="20" t="n">
        <v>23</v>
      </c>
      <c r="B36" s="21" t="n"/>
      <c r="C36" s="8" t="n"/>
      <c r="D36" s="8" t="n"/>
      <c r="E36" s="8" t="n"/>
      <c r="F36" s="8" t="n"/>
      <c r="G36" s="8" t="n"/>
      <c r="H36" s="8" t="n"/>
      <c r="I36" s="22">
        <f>IF(AND(ISNUMBER(C36),C36&gt;0,ISNUMBER(D36),D36&gt;0,ISNUMBER(F36),F36&gt;0),ROUNDUP(F36/MAX(1,INT(IF(AND(ISNUMBER(G36),G36&gt;0),G36,1))),0),0)</f>
        <v/>
      </c>
      <c r="J36" s="23">
        <f>IF(I36&gt;0,(C36/$C$8)*(D36/$C$8)/$C$5*I36,0)</f>
        <v/>
      </c>
      <c r="K36" s="24">
        <f>IF(I36&gt;0,(C36/$C$8)*(D36/$C$8)*I36,0)</f>
        <v/>
      </c>
      <c r="L36" s="24">
        <f>IF(AND(I36&gt;0,ISNUMBER(E36),E36&gt;0),(C36/$C$8)*(D36/$C$8)*(E36/$C$8)*F36,0)</f>
        <v/>
      </c>
      <c r="M36" s="25">
        <f>IF(AND(I36&gt;0,ISNUMBER(H36),H36&gt;0),H36*F36,0)</f>
        <v/>
      </c>
      <c r="N36" s="17">
        <f>IF(COUNTA(B36:H36)=0,"",TRIM(IF(I36=0,"Länge, Breite und Anzahl prüfen. ","")&amp;IF(AND(ISNUMBER(D36),D36/$C$8&gt;$C$5),"Breite größer als Referenzbreite – Fahrzeug prüfen. ","")&amp;IF(AND(ISNUMBER(C36),ISNUMBER(D36),MAX(C36,D36)/$C$8&gt;$C$7),"Länger als Vergleichsfahrzeug. ","")&amp;IF(AND(ISNUMBER(G36),G36&gt;1,I36&gt;0),"Gestapelt gerechnet – Innenhöhe und Sicherung prüfen. ","")))</f>
        <v/>
      </c>
    </row>
    <row r="37">
      <c r="A37" s="20" t="n">
        <v>24</v>
      </c>
      <c r="B37" s="21" t="n"/>
      <c r="C37" s="8" t="n"/>
      <c r="D37" s="8" t="n"/>
      <c r="E37" s="8" t="n"/>
      <c r="F37" s="8" t="n"/>
      <c r="G37" s="8" t="n"/>
      <c r="H37" s="8" t="n"/>
      <c r="I37" s="22">
        <f>IF(AND(ISNUMBER(C37),C37&gt;0,ISNUMBER(D37),D37&gt;0,ISNUMBER(F37),F37&gt;0),ROUNDUP(F37/MAX(1,INT(IF(AND(ISNUMBER(G37),G37&gt;0),G37,1))),0),0)</f>
        <v/>
      </c>
      <c r="J37" s="23">
        <f>IF(I37&gt;0,(C37/$C$8)*(D37/$C$8)/$C$5*I37,0)</f>
        <v/>
      </c>
      <c r="K37" s="24">
        <f>IF(I37&gt;0,(C37/$C$8)*(D37/$C$8)*I37,0)</f>
        <v/>
      </c>
      <c r="L37" s="24">
        <f>IF(AND(I37&gt;0,ISNUMBER(E37),E37&gt;0),(C37/$C$8)*(D37/$C$8)*(E37/$C$8)*F37,0)</f>
        <v/>
      </c>
      <c r="M37" s="25">
        <f>IF(AND(I37&gt;0,ISNUMBER(H37),H37&gt;0),H37*F37,0)</f>
        <v/>
      </c>
      <c r="N37" s="17">
        <f>IF(COUNTA(B37:H37)=0,"",TRIM(IF(I37=0,"Länge, Breite und Anzahl prüfen. ","")&amp;IF(AND(ISNUMBER(D37),D37/$C$8&gt;$C$5),"Breite größer als Referenzbreite – Fahrzeug prüfen. ","")&amp;IF(AND(ISNUMBER(C37),ISNUMBER(D37),MAX(C37,D37)/$C$8&gt;$C$7),"Länger als Vergleichsfahrzeug. ","")&amp;IF(AND(ISNUMBER(G37),G37&gt;1,I37&gt;0),"Gestapelt gerechnet – Innenhöhe und Sicherung prüfen. ","")))</f>
        <v/>
      </c>
    </row>
    <row r="38">
      <c r="A38" s="20" t="n">
        <v>25</v>
      </c>
      <c r="B38" s="21" t="n"/>
      <c r="C38" s="8" t="n"/>
      <c r="D38" s="8" t="n"/>
      <c r="E38" s="8" t="n"/>
      <c r="F38" s="8" t="n"/>
      <c r="G38" s="8" t="n"/>
      <c r="H38" s="8" t="n"/>
      <c r="I38" s="22">
        <f>IF(AND(ISNUMBER(C38),C38&gt;0,ISNUMBER(D38),D38&gt;0,ISNUMBER(F38),F38&gt;0),ROUNDUP(F38/MAX(1,INT(IF(AND(ISNUMBER(G38),G38&gt;0),G38,1))),0),0)</f>
        <v/>
      </c>
      <c r="J38" s="23">
        <f>IF(I38&gt;0,(C38/$C$8)*(D38/$C$8)/$C$5*I38,0)</f>
        <v/>
      </c>
      <c r="K38" s="24">
        <f>IF(I38&gt;0,(C38/$C$8)*(D38/$C$8)*I38,0)</f>
        <v/>
      </c>
      <c r="L38" s="24">
        <f>IF(AND(I38&gt;0,ISNUMBER(E38),E38&gt;0),(C38/$C$8)*(D38/$C$8)*(E38/$C$8)*F38,0)</f>
        <v/>
      </c>
      <c r="M38" s="25">
        <f>IF(AND(I38&gt;0,ISNUMBER(H38),H38&gt;0),H38*F38,0)</f>
        <v/>
      </c>
      <c r="N38" s="17">
        <f>IF(COUNTA(B38:H38)=0,"",TRIM(IF(I38=0,"Länge, Breite und Anzahl prüfen. ","")&amp;IF(AND(ISNUMBER(D38),D38/$C$8&gt;$C$5),"Breite größer als Referenzbreite – Fahrzeug prüfen. ","")&amp;IF(AND(ISNUMBER(C38),ISNUMBER(D38),MAX(C38,D38)/$C$8&gt;$C$7),"Länger als Vergleichsfahrzeug. ","")&amp;IF(AND(ISNUMBER(G38),G38&gt;1,I38&gt;0),"Gestapelt gerechnet – Innenhöhe und Sicherung prüfen. ","")))</f>
        <v/>
      </c>
    </row>
    <row r="39">
      <c r="A39" s="26" t="n"/>
      <c r="B39" s="27" t="inlineStr">
        <is>
          <t>Summe</t>
        </is>
      </c>
      <c r="C39" s="26" t="n"/>
      <c r="D39" s="26" t="n"/>
      <c r="E39" s="26" t="n"/>
      <c r="F39" s="26" t="n"/>
      <c r="G39" s="26" t="n"/>
      <c r="H39" s="26" t="n"/>
      <c r="I39" s="28">
        <f>SUM(I14:I38)</f>
        <v/>
      </c>
      <c r="J39" s="29">
        <f>SUM(J14:J38)</f>
        <v/>
      </c>
      <c r="K39" s="29">
        <f>SUM(K14:K38)</f>
        <v/>
      </c>
      <c r="L39" s="29">
        <f>SUM(L14:L38)</f>
        <v/>
      </c>
      <c r="M39" s="30">
        <f>SUM(M14:M38)</f>
        <v/>
      </c>
      <c r="N39" s="26" t="n"/>
    </row>
    <row r="41">
      <c r="A41" s="5" t="inlineStr">
        <is>
          <t>Hinweis: Alle Werte sind rechnerische Planungswerte (Lademeter = Länge × Breite ÷ Referenzbreite × Bodenstellplätze). Sie ersetzen weder Ladeplan, Achslastprüfung noch Ladungssicherung. Abrechnung und Umrechnungsfaktor richten sich nach dem Tarif Ihrer Spedition.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N14:N38">
    <cfRule type="expression" priority="1" dxfId="0">
      <formula>LEN(N14)&gt;0</formula>
    </cfRule>
  </conditionalFormatting>
  <conditionalFormatting sqref="M7">
    <cfRule type="cellIs" priority="2" operator="lessThan" dxfId="0">
      <formula>0</formula>
    </cfRule>
  </conditionalFormatting>
  <dataValidations count="4">
    <dataValidation sqref="C4" showDropDown="0" showInputMessage="0" showErrorMessage="1" allowBlank="0" errorTitle="Maßeinheit" error="Bitte mm, cm oder m wählen." type="list">
      <formula1>"mm,cm,m"</formula1>
    </dataValidation>
    <dataValidation sqref="C5 C6 C7 C14:E38 H14:H38" showDropDown="0" showInputMessage="0" showErrorMessage="1" allowBlank="1" errorTitle="Ungültiger Wert" error="Bitte eine Zahl größer 0 eingeben." type="decimal" operator="greaterThan">
      <formula1>0</formula1>
    </dataValidation>
    <dataValidation sqref="F14:F38" showDropDown="0" showInputMessage="0" showErrorMessage="1" allowBlank="1" errorTitle="Anzahl" error="Bitte eine ganze Zahl ab 1 eingeben." type="whole" operator="between">
      <formula1>1</formula1>
      <formula2>99999</formula2>
    </dataValidation>
    <dataValidation sqref="G14:G38" showDropDown="0" showInputMessage="0" showErrorMessage="1" allowBlank="1" errorTitle="Stapellagen" error="Bitte 1 bis 10 eingeben (1 = nicht stapelbar)." type="whole" operator="between">
      <formula1>1</formula1>
      <formula2>10</formula2>
    </dataValidation>
  </dataValidations>
  <pageMargins left="0.75" right="0.75" top="1" bottom="1" header="0.5" footer="0.5"/>
  <pageSetup orientation="landscape" paperSize="9" fitToHeight="0" fitToWidth="1"/>
  <headerFooter>
    <oddHeader>&amp;Clademeter-rechner.de – Lademeter-Vorlage</oddHeader>
    <oddFooter>&amp;CSeite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N41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  <col width="16" customWidth="1" min="9" max="9"/>
    <col width="14" customWidth="1" min="10" max="10"/>
    <col width="14" customWidth="1" min="11" max="11"/>
    <col width="14" customWidth="1" min="12" max="12"/>
    <col width="15" customWidth="1" min="13" max="13"/>
    <col width="44" customWidth="1" min="14" max="14"/>
  </cols>
  <sheetData>
    <row r="1">
      <c r="A1" s="1" t="inlineStr">
        <is>
          <t>Lademeter berechnen – Excel-Vorlage (Beispiel)</t>
        </is>
      </c>
    </row>
    <row r="2">
      <c r="A2" s="5" t="inlineStr">
        <is>
          <t>Blau hinterlegte Zellen sind Eingaben, graue Zellen werden berechnet. Rechenweg und Hinweise: Blatt „Anleitung“. Online-Rechner und Erklärungen: https://lademeter-rechner.de</t>
        </is>
      </c>
    </row>
    <row r="3">
      <c r="A3" s="6" t="inlineStr">
        <is>
          <t>Einstellungen</t>
        </is>
      </c>
      <c r="E3" s="6" t="inlineStr">
        <is>
          <t>Ergebnis</t>
        </is>
      </c>
    </row>
    <row r="4">
      <c r="B4" s="7" t="inlineStr">
        <is>
          <t>Maßeinheit der Eingaben (mm, cm, m)</t>
        </is>
      </c>
      <c r="C4" s="8" t="inlineStr">
        <is>
          <t>cm</t>
        </is>
      </c>
      <c r="E4" s="6" t="inlineStr">
        <is>
          <t>Lademeter gesamt (ldm)</t>
        </is>
      </c>
      <c r="H4" s="9">
        <f>ROUND(SUM(J14:J38),2)</f>
        <v/>
      </c>
      <c r="J4" s="7" t="inlineStr">
        <is>
          <t>Lademetergewicht (kg)</t>
        </is>
      </c>
      <c r="M4" s="10">
        <f>IF(AND(ISNUMBER($C$6),$C$6&gt;0,SUM(J14:J38)&gt;0),ROUND(SUM(J14:J38)*$C$6,2),"–")</f>
        <v/>
      </c>
    </row>
    <row r="5">
      <c r="B5" s="7" t="inlineStr">
        <is>
          <t>Referenzbreite der Ladefläche (m)</t>
        </is>
      </c>
      <c r="C5" s="11" t="n">
        <v>2.4</v>
      </c>
      <c r="E5" s="7" t="inlineStr">
        <is>
          <t>Bodenstellplätze gesamt</t>
        </is>
      </c>
      <c r="H5" s="12">
        <f>SUM(I14:I38)</f>
        <v/>
      </c>
      <c r="J5" s="6" t="inlineStr">
        <is>
          <t>Frachtpflichtiges Gewicht (kg)</t>
        </is>
      </c>
      <c r="M5" s="13">
        <f>IF(AND(ISNUMBER($C$6),$C$6&gt;0,SUM(J14:J38)&gt;0),ROUND(MAX(SUM(M14:M38),SUM(J14:J38)*$C$6),2),"–")</f>
        <v/>
      </c>
    </row>
    <row r="6">
      <c r="B6" s="7" t="inlineStr">
        <is>
          <t>Umrechnungsfaktor kg/ldm (optional)</t>
        </is>
      </c>
      <c r="C6" s="14" t="n">
        <v>1850</v>
      </c>
      <c r="E6" s="7" t="inlineStr">
        <is>
          <t>Grundfläche gesamt (m²)</t>
        </is>
      </c>
      <c r="H6" s="15">
        <f>ROUND(SUM(K14:K38),2)</f>
        <v/>
      </c>
      <c r="J6" s="7" t="inlineStr">
        <is>
          <t>Anteil Vergleichsfahrzeug (%)</t>
        </is>
      </c>
      <c r="M6" s="15">
        <f>IF(SUM(J14:J38)&gt;0,ROUND(SUM(J14:J38)/$C$7*100,2),"–")</f>
        <v/>
      </c>
    </row>
    <row r="7">
      <c r="B7" s="7" t="inlineStr">
        <is>
          <t>Ladelänge Vergleichsfahrzeug (m)</t>
        </is>
      </c>
      <c r="C7" s="16" t="n">
        <v>13.6</v>
      </c>
      <c r="E7" s="7" t="inlineStr">
        <is>
          <t>Volumen gesamt (m³) *</t>
        </is>
      </c>
      <c r="H7" s="15">
        <f>ROUND(SUM(L14:L38),2)</f>
        <v/>
      </c>
      <c r="J7" s="7" t="inlineStr">
        <is>
          <t>Rest-Lademeter (Vergleichsfzg.)</t>
        </is>
      </c>
      <c r="M7" s="15">
        <f>IF(SUM(J14:J38)&gt;0,ROUND($C$7-SUM(J14:J38),2),"–")</f>
        <v/>
      </c>
    </row>
    <row r="8">
      <c r="B8" s="5" t="inlineStr">
        <is>
          <t>Hilfswert: Divisor zur Umrechnung in m</t>
        </is>
      </c>
      <c r="C8" s="17">
        <f>IF(C4="mm",1000,IF(C4="cm",100,1))</f>
        <v/>
      </c>
      <c r="E8" s="7" t="inlineStr">
        <is>
          <t>Tatsächliches Gewicht (kg) *</t>
        </is>
      </c>
      <c r="H8" s="10">
        <f>ROUND(SUM(M14:M38),2)</f>
        <v/>
      </c>
      <c r="J8" s="18">
        <f>IF(SUM(J14:J38)=0,"Bitte Positionen eintragen.",IF(SUM(J14:J38)&gt;$C$7,"Achtung: Die Sendung überschreitet die Ladelänge des Vergleichsfahrzeugs.","Die Sendung passt rechnerisch auf die Ladelänge des Vergleichsfahrzeugs (nur Fläche, keine Gewichts- oder Sicherungsprüfung)."))</f>
        <v/>
      </c>
    </row>
    <row r="9">
      <c r="E9" s="5" t="inlineStr">
        <is>
          <t>* nur Positionen mit Höhen- bzw. Gewichtsangabe. Frachtpflichtiges Gewicht = höherer Wert aus tatsächlichem Gewicht und Lademeter × Faktor.</t>
        </is>
      </c>
    </row>
    <row r="12">
      <c r="A12" s="6" t="inlineStr">
        <is>
          <t>Ladungspositionen (bis zu 25)</t>
        </is>
      </c>
    </row>
    <row r="13" ht="44" customHeight="1">
      <c r="A13" s="19" t="inlineStr">
        <is>
          <t>Nr.</t>
        </is>
      </c>
      <c r="B13" s="19" t="inlineStr">
        <is>
          <t>Bezeichnung</t>
        </is>
      </c>
      <c r="C13" s="19" t="inlineStr">
        <is>
          <t>Länge</t>
        </is>
      </c>
      <c r="D13" s="19" t="inlineStr">
        <is>
          <t>Breite</t>
        </is>
      </c>
      <c r="E13" s="19" t="inlineStr">
        <is>
          <t>Höhe (optional)</t>
        </is>
      </c>
      <c r="F13" s="19" t="inlineStr">
        <is>
          <t>Anzahl</t>
        </is>
      </c>
      <c r="G13" s="19" t="inlineStr">
        <is>
          <t>Stapellagen</t>
        </is>
      </c>
      <c r="H13" s="19" t="inlineStr">
        <is>
          <t>Gewicht je Stück (kg, optional)</t>
        </is>
      </c>
      <c r="I13" s="19" t="inlineStr">
        <is>
          <t>Bodenstellplätze</t>
        </is>
      </c>
      <c r="J13" s="19" t="inlineStr">
        <is>
          <t>Lademeter (ldm)</t>
        </is>
      </c>
      <c r="K13" s="19" t="inlineStr">
        <is>
          <t>Grundfläche (m²)</t>
        </is>
      </c>
      <c r="L13" s="19" t="inlineStr">
        <is>
          <t>Volumen (m³)</t>
        </is>
      </c>
      <c r="M13" s="19" t="inlineStr">
        <is>
          <t>Gewicht gesamt (kg)</t>
        </is>
      </c>
      <c r="N13" s="19" t="inlineStr">
        <is>
          <t>Prüfhinweis</t>
        </is>
      </c>
    </row>
    <row r="14">
      <c r="A14" s="20" t="n">
        <v>1</v>
      </c>
      <c r="B14" s="21" t="inlineStr">
        <is>
          <t>Europaletten</t>
        </is>
      </c>
      <c r="C14" s="8" t="n">
        <v>120</v>
      </c>
      <c r="D14" s="8" t="n">
        <v>80</v>
      </c>
      <c r="E14" s="8" t="n">
        <v>150</v>
      </c>
      <c r="F14" s="8" t="n">
        <v>10</v>
      </c>
      <c r="G14" s="8" t="n">
        <v>1</v>
      </c>
      <c r="H14" s="8" t="n">
        <v>420</v>
      </c>
      <c r="I14" s="22">
        <f>IF(AND(ISNUMBER(C14),C14&gt;0,ISNUMBER(D14),D14&gt;0,ISNUMBER(F14),F14&gt;0),ROUNDUP(F14/MAX(1,INT(IF(AND(ISNUMBER(G14),G14&gt;0),G14,1))),0),0)</f>
        <v/>
      </c>
      <c r="J14" s="23">
        <f>IF(I14&gt;0,(C14/$C$8)*(D14/$C$8)/$C$5*I14,0)</f>
        <v/>
      </c>
      <c r="K14" s="24">
        <f>IF(I14&gt;0,(C14/$C$8)*(D14/$C$8)*I14,0)</f>
        <v/>
      </c>
      <c r="L14" s="24">
        <f>IF(AND(I14&gt;0,ISNUMBER(E14),E14&gt;0),(C14/$C$8)*(D14/$C$8)*(E14/$C$8)*F14,0)</f>
        <v/>
      </c>
      <c r="M14" s="25">
        <f>IF(AND(I14&gt;0,ISNUMBER(H14),H14&gt;0),H14*F14,0)</f>
        <v/>
      </c>
      <c r="N14" s="17">
        <f>IF(COUNTA(B14:H14)=0,"",TRIM(IF(I14=0,"Länge, Breite und Anzahl prüfen. ","")&amp;IF(AND(ISNUMBER(D14),D14/$C$8&gt;$C$5),"Breite größer als Referenzbreite – Fahrzeug prüfen. ","")&amp;IF(AND(ISNUMBER(C14),ISNUMBER(D14),MAX(C14,D14)/$C$8&gt;$C$7),"Länger als Vergleichsfahrzeug. ","")&amp;IF(AND(ISNUMBER(G14),G14&gt;1,I14&gt;0),"Gestapelt gerechnet – Innenhöhe und Sicherung prüfen. ","")))</f>
        <v/>
      </c>
    </row>
    <row r="15">
      <c r="A15" s="20" t="n">
        <v>2</v>
      </c>
      <c r="B15" s="21" t="inlineStr">
        <is>
          <t>Industriepaletten (2 Lagen)</t>
        </is>
      </c>
      <c r="C15" s="8" t="n">
        <v>120</v>
      </c>
      <c r="D15" s="8" t="n">
        <v>100</v>
      </c>
      <c r="E15" s="8" t="n">
        <v>140</v>
      </c>
      <c r="F15" s="8" t="n">
        <v>6</v>
      </c>
      <c r="G15" s="8" t="n">
        <v>2</v>
      </c>
      <c r="H15" s="8" t="n">
        <v>600</v>
      </c>
      <c r="I15" s="22">
        <f>IF(AND(ISNUMBER(C15),C15&gt;0,ISNUMBER(D15),D15&gt;0,ISNUMBER(F15),F15&gt;0),ROUNDUP(F15/MAX(1,INT(IF(AND(ISNUMBER(G15),G15&gt;0),G15,1))),0),0)</f>
        <v/>
      </c>
      <c r="J15" s="23">
        <f>IF(I15&gt;0,(C15/$C$8)*(D15/$C$8)/$C$5*I15,0)</f>
        <v/>
      </c>
      <c r="K15" s="24">
        <f>IF(I15&gt;0,(C15/$C$8)*(D15/$C$8)*I15,0)</f>
        <v/>
      </c>
      <c r="L15" s="24">
        <f>IF(AND(I15&gt;0,ISNUMBER(E15),E15&gt;0),(C15/$C$8)*(D15/$C$8)*(E15/$C$8)*F15,0)</f>
        <v/>
      </c>
      <c r="M15" s="25">
        <f>IF(AND(I15&gt;0,ISNUMBER(H15),H15&gt;0),H15*F15,0)</f>
        <v/>
      </c>
      <c r="N15" s="17">
        <f>IF(COUNTA(B15:H15)=0,"",TRIM(IF(I15=0,"Länge, Breite und Anzahl prüfen. ","")&amp;IF(AND(ISNUMBER(D15),D15/$C$8&gt;$C$5),"Breite größer als Referenzbreite – Fahrzeug prüfen. ","")&amp;IF(AND(ISNUMBER(C15),ISNUMBER(D15),MAX(C15,D15)/$C$8&gt;$C$7),"Länger als Vergleichsfahrzeug. ","")&amp;IF(AND(ISNUMBER(G15),G15&gt;1,I15&gt;0),"Gestapelt gerechnet – Innenhöhe und Sicherung prüfen. ","")))</f>
        <v/>
      </c>
    </row>
    <row r="16">
      <c r="A16" s="20" t="n">
        <v>3</v>
      </c>
      <c r="B16" s="21" t="inlineStr">
        <is>
          <t>Kisten</t>
        </is>
      </c>
      <c r="C16" s="8" t="n">
        <v>85</v>
      </c>
      <c r="D16" s="8" t="n">
        <v>65</v>
      </c>
      <c r="E16" s="8" t="n">
        <v>90</v>
      </c>
      <c r="F16" s="8" t="n">
        <v>20</v>
      </c>
      <c r="G16" s="8" t="n">
        <v>1</v>
      </c>
      <c r="H16" s="8" t="n">
        <v>85</v>
      </c>
      <c r="I16" s="22">
        <f>IF(AND(ISNUMBER(C16),C16&gt;0,ISNUMBER(D16),D16&gt;0,ISNUMBER(F16),F16&gt;0),ROUNDUP(F16/MAX(1,INT(IF(AND(ISNUMBER(G16),G16&gt;0),G16,1))),0),0)</f>
        <v/>
      </c>
      <c r="J16" s="23">
        <f>IF(I16&gt;0,(C16/$C$8)*(D16/$C$8)/$C$5*I16,0)</f>
        <v/>
      </c>
      <c r="K16" s="24">
        <f>IF(I16&gt;0,(C16/$C$8)*(D16/$C$8)*I16,0)</f>
        <v/>
      </c>
      <c r="L16" s="24">
        <f>IF(AND(I16&gt;0,ISNUMBER(E16),E16&gt;0),(C16/$C$8)*(D16/$C$8)*(E16/$C$8)*F16,0)</f>
        <v/>
      </c>
      <c r="M16" s="25">
        <f>IF(AND(I16&gt;0,ISNUMBER(H16),H16&gt;0),H16*F16,0)</f>
        <v/>
      </c>
      <c r="N16" s="17">
        <f>IF(COUNTA(B16:H16)=0,"",TRIM(IF(I16=0,"Länge, Breite und Anzahl prüfen. ","")&amp;IF(AND(ISNUMBER(D16),D16/$C$8&gt;$C$5),"Breite größer als Referenzbreite – Fahrzeug prüfen. ","")&amp;IF(AND(ISNUMBER(C16),ISNUMBER(D16),MAX(C16,D16)/$C$8&gt;$C$7),"Länger als Vergleichsfahrzeug. ","")&amp;IF(AND(ISNUMBER(G16),G16&gt;1,I16&gt;0),"Gestapelt gerechnet – Innenhöhe und Sicherung prüfen. ","")))</f>
        <v/>
      </c>
    </row>
    <row r="17">
      <c r="A17" s="20" t="n">
        <v>4</v>
      </c>
      <c r="B17" s="21" t="n"/>
      <c r="C17" s="8" t="n"/>
      <c r="D17" s="8" t="n"/>
      <c r="E17" s="8" t="n"/>
      <c r="F17" s="8" t="n"/>
      <c r="G17" s="8" t="n"/>
      <c r="H17" s="8" t="n"/>
      <c r="I17" s="22">
        <f>IF(AND(ISNUMBER(C17),C17&gt;0,ISNUMBER(D17),D17&gt;0,ISNUMBER(F17),F17&gt;0),ROUNDUP(F17/MAX(1,INT(IF(AND(ISNUMBER(G17),G17&gt;0),G17,1))),0),0)</f>
        <v/>
      </c>
      <c r="J17" s="23">
        <f>IF(I17&gt;0,(C17/$C$8)*(D17/$C$8)/$C$5*I17,0)</f>
        <v/>
      </c>
      <c r="K17" s="24">
        <f>IF(I17&gt;0,(C17/$C$8)*(D17/$C$8)*I17,0)</f>
        <v/>
      </c>
      <c r="L17" s="24">
        <f>IF(AND(I17&gt;0,ISNUMBER(E17),E17&gt;0),(C17/$C$8)*(D17/$C$8)*(E17/$C$8)*F17,0)</f>
        <v/>
      </c>
      <c r="M17" s="25">
        <f>IF(AND(I17&gt;0,ISNUMBER(H17),H17&gt;0),H17*F17,0)</f>
        <v/>
      </c>
      <c r="N17" s="17">
        <f>IF(COUNTA(B17:H17)=0,"",TRIM(IF(I17=0,"Länge, Breite und Anzahl prüfen. ","")&amp;IF(AND(ISNUMBER(D17),D17/$C$8&gt;$C$5),"Breite größer als Referenzbreite – Fahrzeug prüfen. ","")&amp;IF(AND(ISNUMBER(C17),ISNUMBER(D17),MAX(C17,D17)/$C$8&gt;$C$7),"Länger als Vergleichsfahrzeug. ","")&amp;IF(AND(ISNUMBER(G17),G17&gt;1,I17&gt;0),"Gestapelt gerechnet – Innenhöhe und Sicherung prüfen. ","")))</f>
        <v/>
      </c>
    </row>
    <row r="18">
      <c r="A18" s="20" t="n">
        <v>5</v>
      </c>
      <c r="B18" s="21" t="n"/>
      <c r="C18" s="8" t="n"/>
      <c r="D18" s="8" t="n"/>
      <c r="E18" s="8" t="n"/>
      <c r="F18" s="8" t="n"/>
      <c r="G18" s="8" t="n"/>
      <c r="H18" s="8" t="n"/>
      <c r="I18" s="22">
        <f>IF(AND(ISNUMBER(C18),C18&gt;0,ISNUMBER(D18),D18&gt;0,ISNUMBER(F18),F18&gt;0),ROUNDUP(F18/MAX(1,INT(IF(AND(ISNUMBER(G18),G18&gt;0),G18,1))),0),0)</f>
        <v/>
      </c>
      <c r="J18" s="23">
        <f>IF(I18&gt;0,(C18/$C$8)*(D18/$C$8)/$C$5*I18,0)</f>
        <v/>
      </c>
      <c r="K18" s="24">
        <f>IF(I18&gt;0,(C18/$C$8)*(D18/$C$8)*I18,0)</f>
        <v/>
      </c>
      <c r="L18" s="24">
        <f>IF(AND(I18&gt;0,ISNUMBER(E18),E18&gt;0),(C18/$C$8)*(D18/$C$8)*(E18/$C$8)*F18,0)</f>
        <v/>
      </c>
      <c r="M18" s="25">
        <f>IF(AND(I18&gt;0,ISNUMBER(H18),H18&gt;0),H18*F18,0)</f>
        <v/>
      </c>
      <c r="N18" s="17">
        <f>IF(COUNTA(B18:H18)=0,"",TRIM(IF(I18=0,"Länge, Breite und Anzahl prüfen. ","")&amp;IF(AND(ISNUMBER(D18),D18/$C$8&gt;$C$5),"Breite größer als Referenzbreite – Fahrzeug prüfen. ","")&amp;IF(AND(ISNUMBER(C18),ISNUMBER(D18),MAX(C18,D18)/$C$8&gt;$C$7),"Länger als Vergleichsfahrzeug. ","")&amp;IF(AND(ISNUMBER(G18),G18&gt;1,I18&gt;0),"Gestapelt gerechnet – Innenhöhe und Sicherung prüfen. ","")))</f>
        <v/>
      </c>
    </row>
    <row r="19">
      <c r="A19" s="20" t="n">
        <v>6</v>
      </c>
      <c r="B19" s="21" t="n"/>
      <c r="C19" s="8" t="n"/>
      <c r="D19" s="8" t="n"/>
      <c r="E19" s="8" t="n"/>
      <c r="F19" s="8" t="n"/>
      <c r="G19" s="8" t="n"/>
      <c r="H19" s="8" t="n"/>
      <c r="I19" s="22">
        <f>IF(AND(ISNUMBER(C19),C19&gt;0,ISNUMBER(D19),D19&gt;0,ISNUMBER(F19),F19&gt;0),ROUNDUP(F19/MAX(1,INT(IF(AND(ISNUMBER(G19),G19&gt;0),G19,1))),0),0)</f>
        <v/>
      </c>
      <c r="J19" s="23">
        <f>IF(I19&gt;0,(C19/$C$8)*(D19/$C$8)/$C$5*I19,0)</f>
        <v/>
      </c>
      <c r="K19" s="24">
        <f>IF(I19&gt;0,(C19/$C$8)*(D19/$C$8)*I19,0)</f>
        <v/>
      </c>
      <c r="L19" s="24">
        <f>IF(AND(I19&gt;0,ISNUMBER(E19),E19&gt;0),(C19/$C$8)*(D19/$C$8)*(E19/$C$8)*F19,0)</f>
        <v/>
      </c>
      <c r="M19" s="25">
        <f>IF(AND(I19&gt;0,ISNUMBER(H19),H19&gt;0),H19*F19,0)</f>
        <v/>
      </c>
      <c r="N19" s="17">
        <f>IF(COUNTA(B19:H19)=0,"",TRIM(IF(I19=0,"Länge, Breite und Anzahl prüfen. ","")&amp;IF(AND(ISNUMBER(D19),D19/$C$8&gt;$C$5),"Breite größer als Referenzbreite – Fahrzeug prüfen. ","")&amp;IF(AND(ISNUMBER(C19),ISNUMBER(D19),MAX(C19,D19)/$C$8&gt;$C$7),"Länger als Vergleichsfahrzeug. ","")&amp;IF(AND(ISNUMBER(G19),G19&gt;1,I19&gt;0),"Gestapelt gerechnet – Innenhöhe und Sicherung prüfen. ","")))</f>
        <v/>
      </c>
    </row>
    <row r="20">
      <c r="A20" s="20" t="n">
        <v>7</v>
      </c>
      <c r="B20" s="21" t="n"/>
      <c r="C20" s="8" t="n"/>
      <c r="D20" s="8" t="n"/>
      <c r="E20" s="8" t="n"/>
      <c r="F20" s="8" t="n"/>
      <c r="G20" s="8" t="n"/>
      <c r="H20" s="8" t="n"/>
      <c r="I20" s="22">
        <f>IF(AND(ISNUMBER(C20),C20&gt;0,ISNUMBER(D20),D20&gt;0,ISNUMBER(F20),F20&gt;0),ROUNDUP(F20/MAX(1,INT(IF(AND(ISNUMBER(G20),G20&gt;0),G20,1))),0),0)</f>
        <v/>
      </c>
      <c r="J20" s="23">
        <f>IF(I20&gt;0,(C20/$C$8)*(D20/$C$8)/$C$5*I20,0)</f>
        <v/>
      </c>
      <c r="K20" s="24">
        <f>IF(I20&gt;0,(C20/$C$8)*(D20/$C$8)*I20,0)</f>
        <v/>
      </c>
      <c r="L20" s="24">
        <f>IF(AND(I20&gt;0,ISNUMBER(E20),E20&gt;0),(C20/$C$8)*(D20/$C$8)*(E20/$C$8)*F20,0)</f>
        <v/>
      </c>
      <c r="M20" s="25">
        <f>IF(AND(I20&gt;0,ISNUMBER(H20),H20&gt;0),H20*F20,0)</f>
        <v/>
      </c>
      <c r="N20" s="17">
        <f>IF(COUNTA(B20:H20)=0,"",TRIM(IF(I20=0,"Länge, Breite und Anzahl prüfen. ","")&amp;IF(AND(ISNUMBER(D20),D20/$C$8&gt;$C$5),"Breite größer als Referenzbreite – Fahrzeug prüfen. ","")&amp;IF(AND(ISNUMBER(C20),ISNUMBER(D20),MAX(C20,D20)/$C$8&gt;$C$7),"Länger als Vergleichsfahrzeug. ","")&amp;IF(AND(ISNUMBER(G20),G20&gt;1,I20&gt;0),"Gestapelt gerechnet – Innenhöhe und Sicherung prüfen. ","")))</f>
        <v/>
      </c>
    </row>
    <row r="21">
      <c r="A21" s="20" t="n">
        <v>8</v>
      </c>
      <c r="B21" s="21" t="n"/>
      <c r="C21" s="8" t="n"/>
      <c r="D21" s="8" t="n"/>
      <c r="E21" s="8" t="n"/>
      <c r="F21" s="8" t="n"/>
      <c r="G21" s="8" t="n"/>
      <c r="H21" s="8" t="n"/>
      <c r="I21" s="22">
        <f>IF(AND(ISNUMBER(C21),C21&gt;0,ISNUMBER(D21),D21&gt;0,ISNUMBER(F21),F21&gt;0),ROUNDUP(F21/MAX(1,INT(IF(AND(ISNUMBER(G21),G21&gt;0),G21,1))),0),0)</f>
        <v/>
      </c>
      <c r="J21" s="23">
        <f>IF(I21&gt;0,(C21/$C$8)*(D21/$C$8)/$C$5*I21,0)</f>
        <v/>
      </c>
      <c r="K21" s="24">
        <f>IF(I21&gt;0,(C21/$C$8)*(D21/$C$8)*I21,0)</f>
        <v/>
      </c>
      <c r="L21" s="24">
        <f>IF(AND(I21&gt;0,ISNUMBER(E21),E21&gt;0),(C21/$C$8)*(D21/$C$8)*(E21/$C$8)*F21,0)</f>
        <v/>
      </c>
      <c r="M21" s="25">
        <f>IF(AND(I21&gt;0,ISNUMBER(H21),H21&gt;0),H21*F21,0)</f>
        <v/>
      </c>
      <c r="N21" s="17">
        <f>IF(COUNTA(B21:H21)=0,"",TRIM(IF(I21=0,"Länge, Breite und Anzahl prüfen. ","")&amp;IF(AND(ISNUMBER(D21),D21/$C$8&gt;$C$5),"Breite größer als Referenzbreite – Fahrzeug prüfen. ","")&amp;IF(AND(ISNUMBER(C21),ISNUMBER(D21),MAX(C21,D21)/$C$8&gt;$C$7),"Länger als Vergleichsfahrzeug. ","")&amp;IF(AND(ISNUMBER(G21),G21&gt;1,I21&gt;0),"Gestapelt gerechnet – Innenhöhe und Sicherung prüfen. ","")))</f>
        <v/>
      </c>
    </row>
    <row r="22">
      <c r="A22" s="20" t="n">
        <v>9</v>
      </c>
      <c r="B22" s="21" t="n"/>
      <c r="C22" s="8" t="n"/>
      <c r="D22" s="8" t="n"/>
      <c r="E22" s="8" t="n"/>
      <c r="F22" s="8" t="n"/>
      <c r="G22" s="8" t="n"/>
      <c r="H22" s="8" t="n"/>
      <c r="I22" s="22">
        <f>IF(AND(ISNUMBER(C22),C22&gt;0,ISNUMBER(D22),D22&gt;0,ISNUMBER(F22),F22&gt;0),ROUNDUP(F22/MAX(1,INT(IF(AND(ISNUMBER(G22),G22&gt;0),G22,1))),0),0)</f>
        <v/>
      </c>
      <c r="J22" s="23">
        <f>IF(I22&gt;0,(C22/$C$8)*(D22/$C$8)/$C$5*I22,0)</f>
        <v/>
      </c>
      <c r="K22" s="24">
        <f>IF(I22&gt;0,(C22/$C$8)*(D22/$C$8)*I22,0)</f>
        <v/>
      </c>
      <c r="L22" s="24">
        <f>IF(AND(I22&gt;0,ISNUMBER(E22),E22&gt;0),(C22/$C$8)*(D22/$C$8)*(E22/$C$8)*F22,0)</f>
        <v/>
      </c>
      <c r="M22" s="25">
        <f>IF(AND(I22&gt;0,ISNUMBER(H22),H22&gt;0),H22*F22,0)</f>
        <v/>
      </c>
      <c r="N22" s="17">
        <f>IF(COUNTA(B22:H22)=0,"",TRIM(IF(I22=0,"Länge, Breite und Anzahl prüfen. ","")&amp;IF(AND(ISNUMBER(D22),D22/$C$8&gt;$C$5),"Breite größer als Referenzbreite – Fahrzeug prüfen. ","")&amp;IF(AND(ISNUMBER(C22),ISNUMBER(D22),MAX(C22,D22)/$C$8&gt;$C$7),"Länger als Vergleichsfahrzeug. ","")&amp;IF(AND(ISNUMBER(G22),G22&gt;1,I22&gt;0),"Gestapelt gerechnet – Innenhöhe und Sicherung prüfen. ","")))</f>
        <v/>
      </c>
    </row>
    <row r="23">
      <c r="A23" s="20" t="n">
        <v>10</v>
      </c>
      <c r="B23" s="21" t="n"/>
      <c r="C23" s="8" t="n"/>
      <c r="D23" s="8" t="n"/>
      <c r="E23" s="8" t="n"/>
      <c r="F23" s="8" t="n"/>
      <c r="G23" s="8" t="n"/>
      <c r="H23" s="8" t="n"/>
      <c r="I23" s="22">
        <f>IF(AND(ISNUMBER(C23),C23&gt;0,ISNUMBER(D23),D23&gt;0,ISNUMBER(F23),F23&gt;0),ROUNDUP(F23/MAX(1,INT(IF(AND(ISNUMBER(G23),G23&gt;0),G23,1))),0),0)</f>
        <v/>
      </c>
      <c r="J23" s="23">
        <f>IF(I23&gt;0,(C23/$C$8)*(D23/$C$8)/$C$5*I23,0)</f>
        <v/>
      </c>
      <c r="K23" s="24">
        <f>IF(I23&gt;0,(C23/$C$8)*(D23/$C$8)*I23,0)</f>
        <v/>
      </c>
      <c r="L23" s="24">
        <f>IF(AND(I23&gt;0,ISNUMBER(E23),E23&gt;0),(C23/$C$8)*(D23/$C$8)*(E23/$C$8)*F23,0)</f>
        <v/>
      </c>
      <c r="M23" s="25">
        <f>IF(AND(I23&gt;0,ISNUMBER(H23),H23&gt;0),H23*F23,0)</f>
        <v/>
      </c>
      <c r="N23" s="17">
        <f>IF(COUNTA(B23:H23)=0,"",TRIM(IF(I23=0,"Länge, Breite und Anzahl prüfen. ","")&amp;IF(AND(ISNUMBER(D23),D23/$C$8&gt;$C$5),"Breite größer als Referenzbreite – Fahrzeug prüfen. ","")&amp;IF(AND(ISNUMBER(C23),ISNUMBER(D23),MAX(C23,D23)/$C$8&gt;$C$7),"Länger als Vergleichsfahrzeug. ","")&amp;IF(AND(ISNUMBER(G23),G23&gt;1,I23&gt;0),"Gestapelt gerechnet – Innenhöhe und Sicherung prüfen. ","")))</f>
        <v/>
      </c>
    </row>
    <row r="24">
      <c r="A24" s="20" t="n">
        <v>11</v>
      </c>
      <c r="B24" s="21" t="n"/>
      <c r="C24" s="8" t="n"/>
      <c r="D24" s="8" t="n"/>
      <c r="E24" s="8" t="n"/>
      <c r="F24" s="8" t="n"/>
      <c r="G24" s="8" t="n"/>
      <c r="H24" s="8" t="n"/>
      <c r="I24" s="22">
        <f>IF(AND(ISNUMBER(C24),C24&gt;0,ISNUMBER(D24),D24&gt;0,ISNUMBER(F24),F24&gt;0),ROUNDUP(F24/MAX(1,INT(IF(AND(ISNUMBER(G24),G24&gt;0),G24,1))),0),0)</f>
        <v/>
      </c>
      <c r="J24" s="23">
        <f>IF(I24&gt;0,(C24/$C$8)*(D24/$C$8)/$C$5*I24,0)</f>
        <v/>
      </c>
      <c r="K24" s="24">
        <f>IF(I24&gt;0,(C24/$C$8)*(D24/$C$8)*I24,0)</f>
        <v/>
      </c>
      <c r="L24" s="24">
        <f>IF(AND(I24&gt;0,ISNUMBER(E24),E24&gt;0),(C24/$C$8)*(D24/$C$8)*(E24/$C$8)*F24,0)</f>
        <v/>
      </c>
      <c r="M24" s="25">
        <f>IF(AND(I24&gt;0,ISNUMBER(H24),H24&gt;0),H24*F24,0)</f>
        <v/>
      </c>
      <c r="N24" s="17">
        <f>IF(COUNTA(B24:H24)=0,"",TRIM(IF(I24=0,"Länge, Breite und Anzahl prüfen. ","")&amp;IF(AND(ISNUMBER(D24),D24/$C$8&gt;$C$5),"Breite größer als Referenzbreite – Fahrzeug prüfen. ","")&amp;IF(AND(ISNUMBER(C24),ISNUMBER(D24),MAX(C24,D24)/$C$8&gt;$C$7),"Länger als Vergleichsfahrzeug. ","")&amp;IF(AND(ISNUMBER(G24),G24&gt;1,I24&gt;0),"Gestapelt gerechnet – Innenhöhe und Sicherung prüfen. ","")))</f>
        <v/>
      </c>
    </row>
    <row r="25">
      <c r="A25" s="20" t="n">
        <v>12</v>
      </c>
      <c r="B25" s="21" t="n"/>
      <c r="C25" s="8" t="n"/>
      <c r="D25" s="8" t="n"/>
      <c r="E25" s="8" t="n"/>
      <c r="F25" s="8" t="n"/>
      <c r="G25" s="8" t="n"/>
      <c r="H25" s="8" t="n"/>
      <c r="I25" s="22">
        <f>IF(AND(ISNUMBER(C25),C25&gt;0,ISNUMBER(D25),D25&gt;0,ISNUMBER(F25),F25&gt;0),ROUNDUP(F25/MAX(1,INT(IF(AND(ISNUMBER(G25),G25&gt;0),G25,1))),0),0)</f>
        <v/>
      </c>
      <c r="J25" s="23">
        <f>IF(I25&gt;0,(C25/$C$8)*(D25/$C$8)/$C$5*I25,0)</f>
        <v/>
      </c>
      <c r="K25" s="24">
        <f>IF(I25&gt;0,(C25/$C$8)*(D25/$C$8)*I25,0)</f>
        <v/>
      </c>
      <c r="L25" s="24">
        <f>IF(AND(I25&gt;0,ISNUMBER(E25),E25&gt;0),(C25/$C$8)*(D25/$C$8)*(E25/$C$8)*F25,0)</f>
        <v/>
      </c>
      <c r="M25" s="25">
        <f>IF(AND(I25&gt;0,ISNUMBER(H25),H25&gt;0),H25*F25,0)</f>
        <v/>
      </c>
      <c r="N25" s="17">
        <f>IF(COUNTA(B25:H25)=0,"",TRIM(IF(I25=0,"Länge, Breite und Anzahl prüfen. ","")&amp;IF(AND(ISNUMBER(D25),D25/$C$8&gt;$C$5),"Breite größer als Referenzbreite – Fahrzeug prüfen. ","")&amp;IF(AND(ISNUMBER(C25),ISNUMBER(D25),MAX(C25,D25)/$C$8&gt;$C$7),"Länger als Vergleichsfahrzeug. ","")&amp;IF(AND(ISNUMBER(G25),G25&gt;1,I25&gt;0),"Gestapelt gerechnet – Innenhöhe und Sicherung prüfen. ","")))</f>
        <v/>
      </c>
    </row>
    <row r="26">
      <c r="A26" s="20" t="n">
        <v>13</v>
      </c>
      <c r="B26" s="21" t="n"/>
      <c r="C26" s="8" t="n"/>
      <c r="D26" s="8" t="n"/>
      <c r="E26" s="8" t="n"/>
      <c r="F26" s="8" t="n"/>
      <c r="G26" s="8" t="n"/>
      <c r="H26" s="8" t="n"/>
      <c r="I26" s="22">
        <f>IF(AND(ISNUMBER(C26),C26&gt;0,ISNUMBER(D26),D26&gt;0,ISNUMBER(F26),F26&gt;0),ROUNDUP(F26/MAX(1,INT(IF(AND(ISNUMBER(G26),G26&gt;0),G26,1))),0),0)</f>
        <v/>
      </c>
      <c r="J26" s="23">
        <f>IF(I26&gt;0,(C26/$C$8)*(D26/$C$8)/$C$5*I26,0)</f>
        <v/>
      </c>
      <c r="K26" s="24">
        <f>IF(I26&gt;0,(C26/$C$8)*(D26/$C$8)*I26,0)</f>
        <v/>
      </c>
      <c r="L26" s="24">
        <f>IF(AND(I26&gt;0,ISNUMBER(E26),E26&gt;0),(C26/$C$8)*(D26/$C$8)*(E26/$C$8)*F26,0)</f>
        <v/>
      </c>
      <c r="M26" s="25">
        <f>IF(AND(I26&gt;0,ISNUMBER(H26),H26&gt;0),H26*F26,0)</f>
        <v/>
      </c>
      <c r="N26" s="17">
        <f>IF(COUNTA(B26:H26)=0,"",TRIM(IF(I26=0,"Länge, Breite und Anzahl prüfen. ","")&amp;IF(AND(ISNUMBER(D26),D26/$C$8&gt;$C$5),"Breite größer als Referenzbreite – Fahrzeug prüfen. ","")&amp;IF(AND(ISNUMBER(C26),ISNUMBER(D26),MAX(C26,D26)/$C$8&gt;$C$7),"Länger als Vergleichsfahrzeug. ","")&amp;IF(AND(ISNUMBER(G26),G26&gt;1,I26&gt;0),"Gestapelt gerechnet – Innenhöhe und Sicherung prüfen. ","")))</f>
        <v/>
      </c>
    </row>
    <row r="27">
      <c r="A27" s="20" t="n">
        <v>14</v>
      </c>
      <c r="B27" s="21" t="n"/>
      <c r="C27" s="8" t="n"/>
      <c r="D27" s="8" t="n"/>
      <c r="E27" s="8" t="n"/>
      <c r="F27" s="8" t="n"/>
      <c r="G27" s="8" t="n"/>
      <c r="H27" s="8" t="n"/>
      <c r="I27" s="22">
        <f>IF(AND(ISNUMBER(C27),C27&gt;0,ISNUMBER(D27),D27&gt;0,ISNUMBER(F27),F27&gt;0),ROUNDUP(F27/MAX(1,INT(IF(AND(ISNUMBER(G27),G27&gt;0),G27,1))),0),0)</f>
        <v/>
      </c>
      <c r="J27" s="23">
        <f>IF(I27&gt;0,(C27/$C$8)*(D27/$C$8)/$C$5*I27,0)</f>
        <v/>
      </c>
      <c r="K27" s="24">
        <f>IF(I27&gt;0,(C27/$C$8)*(D27/$C$8)*I27,0)</f>
        <v/>
      </c>
      <c r="L27" s="24">
        <f>IF(AND(I27&gt;0,ISNUMBER(E27),E27&gt;0),(C27/$C$8)*(D27/$C$8)*(E27/$C$8)*F27,0)</f>
        <v/>
      </c>
      <c r="M27" s="25">
        <f>IF(AND(I27&gt;0,ISNUMBER(H27),H27&gt;0),H27*F27,0)</f>
        <v/>
      </c>
      <c r="N27" s="17">
        <f>IF(COUNTA(B27:H27)=0,"",TRIM(IF(I27=0,"Länge, Breite und Anzahl prüfen. ","")&amp;IF(AND(ISNUMBER(D27),D27/$C$8&gt;$C$5),"Breite größer als Referenzbreite – Fahrzeug prüfen. ","")&amp;IF(AND(ISNUMBER(C27),ISNUMBER(D27),MAX(C27,D27)/$C$8&gt;$C$7),"Länger als Vergleichsfahrzeug. ","")&amp;IF(AND(ISNUMBER(G27),G27&gt;1,I27&gt;0),"Gestapelt gerechnet – Innenhöhe und Sicherung prüfen. ","")))</f>
        <v/>
      </c>
    </row>
    <row r="28">
      <c r="A28" s="20" t="n">
        <v>15</v>
      </c>
      <c r="B28" s="21" t="n"/>
      <c r="C28" s="8" t="n"/>
      <c r="D28" s="8" t="n"/>
      <c r="E28" s="8" t="n"/>
      <c r="F28" s="8" t="n"/>
      <c r="G28" s="8" t="n"/>
      <c r="H28" s="8" t="n"/>
      <c r="I28" s="22">
        <f>IF(AND(ISNUMBER(C28),C28&gt;0,ISNUMBER(D28),D28&gt;0,ISNUMBER(F28),F28&gt;0),ROUNDUP(F28/MAX(1,INT(IF(AND(ISNUMBER(G28),G28&gt;0),G28,1))),0),0)</f>
        <v/>
      </c>
      <c r="J28" s="23">
        <f>IF(I28&gt;0,(C28/$C$8)*(D28/$C$8)/$C$5*I28,0)</f>
        <v/>
      </c>
      <c r="K28" s="24">
        <f>IF(I28&gt;0,(C28/$C$8)*(D28/$C$8)*I28,0)</f>
        <v/>
      </c>
      <c r="L28" s="24">
        <f>IF(AND(I28&gt;0,ISNUMBER(E28),E28&gt;0),(C28/$C$8)*(D28/$C$8)*(E28/$C$8)*F28,0)</f>
        <v/>
      </c>
      <c r="M28" s="25">
        <f>IF(AND(I28&gt;0,ISNUMBER(H28),H28&gt;0),H28*F28,0)</f>
        <v/>
      </c>
      <c r="N28" s="17">
        <f>IF(COUNTA(B28:H28)=0,"",TRIM(IF(I28=0,"Länge, Breite und Anzahl prüfen. ","")&amp;IF(AND(ISNUMBER(D28),D28/$C$8&gt;$C$5),"Breite größer als Referenzbreite – Fahrzeug prüfen. ","")&amp;IF(AND(ISNUMBER(C28),ISNUMBER(D28),MAX(C28,D28)/$C$8&gt;$C$7),"Länger als Vergleichsfahrzeug. ","")&amp;IF(AND(ISNUMBER(G28),G28&gt;1,I28&gt;0),"Gestapelt gerechnet – Innenhöhe und Sicherung prüfen. ","")))</f>
        <v/>
      </c>
    </row>
    <row r="29">
      <c r="A29" s="20" t="n">
        <v>16</v>
      </c>
      <c r="B29" s="21" t="n"/>
      <c r="C29" s="8" t="n"/>
      <c r="D29" s="8" t="n"/>
      <c r="E29" s="8" t="n"/>
      <c r="F29" s="8" t="n"/>
      <c r="G29" s="8" t="n"/>
      <c r="H29" s="8" t="n"/>
      <c r="I29" s="22">
        <f>IF(AND(ISNUMBER(C29),C29&gt;0,ISNUMBER(D29),D29&gt;0,ISNUMBER(F29),F29&gt;0),ROUNDUP(F29/MAX(1,INT(IF(AND(ISNUMBER(G29),G29&gt;0),G29,1))),0),0)</f>
        <v/>
      </c>
      <c r="J29" s="23">
        <f>IF(I29&gt;0,(C29/$C$8)*(D29/$C$8)/$C$5*I29,0)</f>
        <v/>
      </c>
      <c r="K29" s="24">
        <f>IF(I29&gt;0,(C29/$C$8)*(D29/$C$8)*I29,0)</f>
        <v/>
      </c>
      <c r="L29" s="24">
        <f>IF(AND(I29&gt;0,ISNUMBER(E29),E29&gt;0),(C29/$C$8)*(D29/$C$8)*(E29/$C$8)*F29,0)</f>
        <v/>
      </c>
      <c r="M29" s="25">
        <f>IF(AND(I29&gt;0,ISNUMBER(H29),H29&gt;0),H29*F29,0)</f>
        <v/>
      </c>
      <c r="N29" s="17">
        <f>IF(COUNTA(B29:H29)=0,"",TRIM(IF(I29=0,"Länge, Breite und Anzahl prüfen. ","")&amp;IF(AND(ISNUMBER(D29),D29/$C$8&gt;$C$5),"Breite größer als Referenzbreite – Fahrzeug prüfen. ","")&amp;IF(AND(ISNUMBER(C29),ISNUMBER(D29),MAX(C29,D29)/$C$8&gt;$C$7),"Länger als Vergleichsfahrzeug. ","")&amp;IF(AND(ISNUMBER(G29),G29&gt;1,I29&gt;0),"Gestapelt gerechnet – Innenhöhe und Sicherung prüfen. ","")))</f>
        <v/>
      </c>
    </row>
    <row r="30">
      <c r="A30" s="20" t="n">
        <v>17</v>
      </c>
      <c r="B30" s="21" t="n"/>
      <c r="C30" s="8" t="n"/>
      <c r="D30" s="8" t="n"/>
      <c r="E30" s="8" t="n"/>
      <c r="F30" s="8" t="n"/>
      <c r="G30" s="8" t="n"/>
      <c r="H30" s="8" t="n"/>
      <c r="I30" s="22">
        <f>IF(AND(ISNUMBER(C30),C30&gt;0,ISNUMBER(D30),D30&gt;0,ISNUMBER(F30),F30&gt;0),ROUNDUP(F30/MAX(1,INT(IF(AND(ISNUMBER(G30),G30&gt;0),G30,1))),0),0)</f>
        <v/>
      </c>
      <c r="J30" s="23">
        <f>IF(I30&gt;0,(C30/$C$8)*(D30/$C$8)/$C$5*I30,0)</f>
        <v/>
      </c>
      <c r="K30" s="24">
        <f>IF(I30&gt;0,(C30/$C$8)*(D30/$C$8)*I30,0)</f>
        <v/>
      </c>
      <c r="L30" s="24">
        <f>IF(AND(I30&gt;0,ISNUMBER(E30),E30&gt;0),(C30/$C$8)*(D30/$C$8)*(E30/$C$8)*F30,0)</f>
        <v/>
      </c>
      <c r="M30" s="25">
        <f>IF(AND(I30&gt;0,ISNUMBER(H30),H30&gt;0),H30*F30,0)</f>
        <v/>
      </c>
      <c r="N30" s="17">
        <f>IF(COUNTA(B30:H30)=0,"",TRIM(IF(I30=0,"Länge, Breite und Anzahl prüfen. ","")&amp;IF(AND(ISNUMBER(D30),D30/$C$8&gt;$C$5),"Breite größer als Referenzbreite – Fahrzeug prüfen. ","")&amp;IF(AND(ISNUMBER(C30),ISNUMBER(D30),MAX(C30,D30)/$C$8&gt;$C$7),"Länger als Vergleichsfahrzeug. ","")&amp;IF(AND(ISNUMBER(G30),G30&gt;1,I30&gt;0),"Gestapelt gerechnet – Innenhöhe und Sicherung prüfen. ","")))</f>
        <v/>
      </c>
    </row>
    <row r="31">
      <c r="A31" s="20" t="n">
        <v>18</v>
      </c>
      <c r="B31" s="21" t="n"/>
      <c r="C31" s="8" t="n"/>
      <c r="D31" s="8" t="n"/>
      <c r="E31" s="8" t="n"/>
      <c r="F31" s="8" t="n"/>
      <c r="G31" s="8" t="n"/>
      <c r="H31" s="8" t="n"/>
      <c r="I31" s="22">
        <f>IF(AND(ISNUMBER(C31),C31&gt;0,ISNUMBER(D31),D31&gt;0,ISNUMBER(F31),F31&gt;0),ROUNDUP(F31/MAX(1,INT(IF(AND(ISNUMBER(G31),G31&gt;0),G31,1))),0),0)</f>
        <v/>
      </c>
      <c r="J31" s="23">
        <f>IF(I31&gt;0,(C31/$C$8)*(D31/$C$8)/$C$5*I31,0)</f>
        <v/>
      </c>
      <c r="K31" s="24">
        <f>IF(I31&gt;0,(C31/$C$8)*(D31/$C$8)*I31,0)</f>
        <v/>
      </c>
      <c r="L31" s="24">
        <f>IF(AND(I31&gt;0,ISNUMBER(E31),E31&gt;0),(C31/$C$8)*(D31/$C$8)*(E31/$C$8)*F31,0)</f>
        <v/>
      </c>
      <c r="M31" s="25">
        <f>IF(AND(I31&gt;0,ISNUMBER(H31),H31&gt;0),H31*F31,0)</f>
        <v/>
      </c>
      <c r="N31" s="17">
        <f>IF(COUNTA(B31:H31)=0,"",TRIM(IF(I31=0,"Länge, Breite und Anzahl prüfen. ","")&amp;IF(AND(ISNUMBER(D31),D31/$C$8&gt;$C$5),"Breite größer als Referenzbreite – Fahrzeug prüfen. ","")&amp;IF(AND(ISNUMBER(C31),ISNUMBER(D31),MAX(C31,D31)/$C$8&gt;$C$7),"Länger als Vergleichsfahrzeug. ","")&amp;IF(AND(ISNUMBER(G31),G31&gt;1,I31&gt;0),"Gestapelt gerechnet – Innenhöhe und Sicherung prüfen. ","")))</f>
        <v/>
      </c>
    </row>
    <row r="32">
      <c r="A32" s="20" t="n">
        <v>19</v>
      </c>
      <c r="B32" s="21" t="n"/>
      <c r="C32" s="8" t="n"/>
      <c r="D32" s="8" t="n"/>
      <c r="E32" s="8" t="n"/>
      <c r="F32" s="8" t="n"/>
      <c r="G32" s="8" t="n"/>
      <c r="H32" s="8" t="n"/>
      <c r="I32" s="22">
        <f>IF(AND(ISNUMBER(C32),C32&gt;0,ISNUMBER(D32),D32&gt;0,ISNUMBER(F32),F32&gt;0),ROUNDUP(F32/MAX(1,INT(IF(AND(ISNUMBER(G32),G32&gt;0),G32,1))),0),0)</f>
        <v/>
      </c>
      <c r="J32" s="23">
        <f>IF(I32&gt;0,(C32/$C$8)*(D32/$C$8)/$C$5*I32,0)</f>
        <v/>
      </c>
      <c r="K32" s="24">
        <f>IF(I32&gt;0,(C32/$C$8)*(D32/$C$8)*I32,0)</f>
        <v/>
      </c>
      <c r="L32" s="24">
        <f>IF(AND(I32&gt;0,ISNUMBER(E32),E32&gt;0),(C32/$C$8)*(D32/$C$8)*(E32/$C$8)*F32,0)</f>
        <v/>
      </c>
      <c r="M32" s="25">
        <f>IF(AND(I32&gt;0,ISNUMBER(H32),H32&gt;0),H32*F32,0)</f>
        <v/>
      </c>
      <c r="N32" s="17">
        <f>IF(COUNTA(B32:H32)=0,"",TRIM(IF(I32=0,"Länge, Breite und Anzahl prüfen. ","")&amp;IF(AND(ISNUMBER(D32),D32/$C$8&gt;$C$5),"Breite größer als Referenzbreite – Fahrzeug prüfen. ","")&amp;IF(AND(ISNUMBER(C32),ISNUMBER(D32),MAX(C32,D32)/$C$8&gt;$C$7),"Länger als Vergleichsfahrzeug. ","")&amp;IF(AND(ISNUMBER(G32),G32&gt;1,I32&gt;0),"Gestapelt gerechnet – Innenhöhe und Sicherung prüfen. ","")))</f>
        <v/>
      </c>
    </row>
    <row r="33">
      <c r="A33" s="20" t="n">
        <v>20</v>
      </c>
      <c r="B33" s="21" t="n"/>
      <c r="C33" s="8" t="n"/>
      <c r="D33" s="8" t="n"/>
      <c r="E33" s="8" t="n"/>
      <c r="F33" s="8" t="n"/>
      <c r="G33" s="8" t="n"/>
      <c r="H33" s="8" t="n"/>
      <c r="I33" s="22">
        <f>IF(AND(ISNUMBER(C33),C33&gt;0,ISNUMBER(D33),D33&gt;0,ISNUMBER(F33),F33&gt;0),ROUNDUP(F33/MAX(1,INT(IF(AND(ISNUMBER(G33),G33&gt;0),G33,1))),0),0)</f>
        <v/>
      </c>
      <c r="J33" s="23">
        <f>IF(I33&gt;0,(C33/$C$8)*(D33/$C$8)/$C$5*I33,0)</f>
        <v/>
      </c>
      <c r="K33" s="24">
        <f>IF(I33&gt;0,(C33/$C$8)*(D33/$C$8)*I33,0)</f>
        <v/>
      </c>
      <c r="L33" s="24">
        <f>IF(AND(I33&gt;0,ISNUMBER(E33),E33&gt;0),(C33/$C$8)*(D33/$C$8)*(E33/$C$8)*F33,0)</f>
        <v/>
      </c>
      <c r="M33" s="25">
        <f>IF(AND(I33&gt;0,ISNUMBER(H33),H33&gt;0),H33*F33,0)</f>
        <v/>
      </c>
      <c r="N33" s="17">
        <f>IF(COUNTA(B33:H33)=0,"",TRIM(IF(I33=0,"Länge, Breite und Anzahl prüfen. ","")&amp;IF(AND(ISNUMBER(D33),D33/$C$8&gt;$C$5),"Breite größer als Referenzbreite – Fahrzeug prüfen. ","")&amp;IF(AND(ISNUMBER(C33),ISNUMBER(D33),MAX(C33,D33)/$C$8&gt;$C$7),"Länger als Vergleichsfahrzeug. ","")&amp;IF(AND(ISNUMBER(G33),G33&gt;1,I33&gt;0),"Gestapelt gerechnet – Innenhöhe und Sicherung prüfen. ","")))</f>
        <v/>
      </c>
    </row>
    <row r="34">
      <c r="A34" s="20" t="n">
        <v>21</v>
      </c>
      <c r="B34" s="21" t="n"/>
      <c r="C34" s="8" t="n"/>
      <c r="D34" s="8" t="n"/>
      <c r="E34" s="8" t="n"/>
      <c r="F34" s="8" t="n"/>
      <c r="G34" s="8" t="n"/>
      <c r="H34" s="8" t="n"/>
      <c r="I34" s="22">
        <f>IF(AND(ISNUMBER(C34),C34&gt;0,ISNUMBER(D34),D34&gt;0,ISNUMBER(F34),F34&gt;0),ROUNDUP(F34/MAX(1,INT(IF(AND(ISNUMBER(G34),G34&gt;0),G34,1))),0),0)</f>
        <v/>
      </c>
      <c r="J34" s="23">
        <f>IF(I34&gt;0,(C34/$C$8)*(D34/$C$8)/$C$5*I34,0)</f>
        <v/>
      </c>
      <c r="K34" s="24">
        <f>IF(I34&gt;0,(C34/$C$8)*(D34/$C$8)*I34,0)</f>
        <v/>
      </c>
      <c r="L34" s="24">
        <f>IF(AND(I34&gt;0,ISNUMBER(E34),E34&gt;0),(C34/$C$8)*(D34/$C$8)*(E34/$C$8)*F34,0)</f>
        <v/>
      </c>
      <c r="M34" s="25">
        <f>IF(AND(I34&gt;0,ISNUMBER(H34),H34&gt;0),H34*F34,0)</f>
        <v/>
      </c>
      <c r="N34" s="17">
        <f>IF(COUNTA(B34:H34)=0,"",TRIM(IF(I34=0,"Länge, Breite und Anzahl prüfen. ","")&amp;IF(AND(ISNUMBER(D34),D34/$C$8&gt;$C$5),"Breite größer als Referenzbreite – Fahrzeug prüfen. ","")&amp;IF(AND(ISNUMBER(C34),ISNUMBER(D34),MAX(C34,D34)/$C$8&gt;$C$7),"Länger als Vergleichsfahrzeug. ","")&amp;IF(AND(ISNUMBER(G34),G34&gt;1,I34&gt;0),"Gestapelt gerechnet – Innenhöhe und Sicherung prüfen. ","")))</f>
        <v/>
      </c>
    </row>
    <row r="35">
      <c r="A35" s="20" t="n">
        <v>22</v>
      </c>
      <c r="B35" s="21" t="n"/>
      <c r="C35" s="8" t="n"/>
      <c r="D35" s="8" t="n"/>
      <c r="E35" s="8" t="n"/>
      <c r="F35" s="8" t="n"/>
      <c r="G35" s="8" t="n"/>
      <c r="H35" s="8" t="n"/>
      <c r="I35" s="22">
        <f>IF(AND(ISNUMBER(C35),C35&gt;0,ISNUMBER(D35),D35&gt;0,ISNUMBER(F35),F35&gt;0),ROUNDUP(F35/MAX(1,INT(IF(AND(ISNUMBER(G35),G35&gt;0),G35,1))),0),0)</f>
        <v/>
      </c>
      <c r="J35" s="23">
        <f>IF(I35&gt;0,(C35/$C$8)*(D35/$C$8)/$C$5*I35,0)</f>
        <v/>
      </c>
      <c r="K35" s="24">
        <f>IF(I35&gt;0,(C35/$C$8)*(D35/$C$8)*I35,0)</f>
        <v/>
      </c>
      <c r="L35" s="24">
        <f>IF(AND(I35&gt;0,ISNUMBER(E35),E35&gt;0),(C35/$C$8)*(D35/$C$8)*(E35/$C$8)*F35,0)</f>
        <v/>
      </c>
      <c r="M35" s="25">
        <f>IF(AND(I35&gt;0,ISNUMBER(H35),H35&gt;0),H35*F35,0)</f>
        <v/>
      </c>
      <c r="N35" s="17">
        <f>IF(COUNTA(B35:H35)=0,"",TRIM(IF(I35=0,"Länge, Breite und Anzahl prüfen. ","")&amp;IF(AND(ISNUMBER(D35),D35/$C$8&gt;$C$5),"Breite größer als Referenzbreite – Fahrzeug prüfen. ","")&amp;IF(AND(ISNUMBER(C35),ISNUMBER(D35),MAX(C35,D35)/$C$8&gt;$C$7),"Länger als Vergleichsfahrzeug. ","")&amp;IF(AND(ISNUMBER(G35),G35&gt;1,I35&gt;0),"Gestapelt gerechnet – Innenhöhe und Sicherung prüfen. ","")))</f>
        <v/>
      </c>
    </row>
    <row r="36">
      <c r="A36" s="20" t="n">
        <v>23</v>
      </c>
      <c r="B36" s="21" t="n"/>
      <c r="C36" s="8" t="n"/>
      <c r="D36" s="8" t="n"/>
      <c r="E36" s="8" t="n"/>
      <c r="F36" s="8" t="n"/>
      <c r="G36" s="8" t="n"/>
      <c r="H36" s="8" t="n"/>
      <c r="I36" s="22">
        <f>IF(AND(ISNUMBER(C36),C36&gt;0,ISNUMBER(D36),D36&gt;0,ISNUMBER(F36),F36&gt;0),ROUNDUP(F36/MAX(1,INT(IF(AND(ISNUMBER(G36),G36&gt;0),G36,1))),0),0)</f>
        <v/>
      </c>
      <c r="J36" s="23">
        <f>IF(I36&gt;0,(C36/$C$8)*(D36/$C$8)/$C$5*I36,0)</f>
        <v/>
      </c>
      <c r="K36" s="24">
        <f>IF(I36&gt;0,(C36/$C$8)*(D36/$C$8)*I36,0)</f>
        <v/>
      </c>
      <c r="L36" s="24">
        <f>IF(AND(I36&gt;0,ISNUMBER(E36),E36&gt;0),(C36/$C$8)*(D36/$C$8)*(E36/$C$8)*F36,0)</f>
        <v/>
      </c>
      <c r="M36" s="25">
        <f>IF(AND(I36&gt;0,ISNUMBER(H36),H36&gt;0),H36*F36,0)</f>
        <v/>
      </c>
      <c r="N36" s="17">
        <f>IF(COUNTA(B36:H36)=0,"",TRIM(IF(I36=0,"Länge, Breite und Anzahl prüfen. ","")&amp;IF(AND(ISNUMBER(D36),D36/$C$8&gt;$C$5),"Breite größer als Referenzbreite – Fahrzeug prüfen. ","")&amp;IF(AND(ISNUMBER(C36),ISNUMBER(D36),MAX(C36,D36)/$C$8&gt;$C$7),"Länger als Vergleichsfahrzeug. ","")&amp;IF(AND(ISNUMBER(G36),G36&gt;1,I36&gt;0),"Gestapelt gerechnet – Innenhöhe und Sicherung prüfen. ","")))</f>
        <v/>
      </c>
    </row>
    <row r="37">
      <c r="A37" s="20" t="n">
        <v>24</v>
      </c>
      <c r="B37" s="21" t="n"/>
      <c r="C37" s="8" t="n"/>
      <c r="D37" s="8" t="n"/>
      <c r="E37" s="8" t="n"/>
      <c r="F37" s="8" t="n"/>
      <c r="G37" s="8" t="n"/>
      <c r="H37" s="8" t="n"/>
      <c r="I37" s="22">
        <f>IF(AND(ISNUMBER(C37),C37&gt;0,ISNUMBER(D37),D37&gt;0,ISNUMBER(F37),F37&gt;0),ROUNDUP(F37/MAX(1,INT(IF(AND(ISNUMBER(G37),G37&gt;0),G37,1))),0),0)</f>
        <v/>
      </c>
      <c r="J37" s="23">
        <f>IF(I37&gt;0,(C37/$C$8)*(D37/$C$8)/$C$5*I37,0)</f>
        <v/>
      </c>
      <c r="K37" s="24">
        <f>IF(I37&gt;0,(C37/$C$8)*(D37/$C$8)*I37,0)</f>
        <v/>
      </c>
      <c r="L37" s="24">
        <f>IF(AND(I37&gt;0,ISNUMBER(E37),E37&gt;0),(C37/$C$8)*(D37/$C$8)*(E37/$C$8)*F37,0)</f>
        <v/>
      </c>
      <c r="M37" s="25">
        <f>IF(AND(I37&gt;0,ISNUMBER(H37),H37&gt;0),H37*F37,0)</f>
        <v/>
      </c>
      <c r="N37" s="17">
        <f>IF(COUNTA(B37:H37)=0,"",TRIM(IF(I37=0,"Länge, Breite und Anzahl prüfen. ","")&amp;IF(AND(ISNUMBER(D37),D37/$C$8&gt;$C$5),"Breite größer als Referenzbreite – Fahrzeug prüfen. ","")&amp;IF(AND(ISNUMBER(C37),ISNUMBER(D37),MAX(C37,D37)/$C$8&gt;$C$7),"Länger als Vergleichsfahrzeug. ","")&amp;IF(AND(ISNUMBER(G37),G37&gt;1,I37&gt;0),"Gestapelt gerechnet – Innenhöhe und Sicherung prüfen. ","")))</f>
        <v/>
      </c>
    </row>
    <row r="38">
      <c r="A38" s="20" t="n">
        <v>25</v>
      </c>
      <c r="B38" s="21" t="n"/>
      <c r="C38" s="8" t="n"/>
      <c r="D38" s="8" t="n"/>
      <c r="E38" s="8" t="n"/>
      <c r="F38" s="8" t="n"/>
      <c r="G38" s="8" t="n"/>
      <c r="H38" s="8" t="n"/>
      <c r="I38" s="22">
        <f>IF(AND(ISNUMBER(C38),C38&gt;0,ISNUMBER(D38),D38&gt;0,ISNUMBER(F38),F38&gt;0),ROUNDUP(F38/MAX(1,INT(IF(AND(ISNUMBER(G38),G38&gt;0),G38,1))),0),0)</f>
        <v/>
      </c>
      <c r="J38" s="23">
        <f>IF(I38&gt;0,(C38/$C$8)*(D38/$C$8)/$C$5*I38,0)</f>
        <v/>
      </c>
      <c r="K38" s="24">
        <f>IF(I38&gt;0,(C38/$C$8)*(D38/$C$8)*I38,0)</f>
        <v/>
      </c>
      <c r="L38" s="24">
        <f>IF(AND(I38&gt;0,ISNUMBER(E38),E38&gt;0),(C38/$C$8)*(D38/$C$8)*(E38/$C$8)*F38,0)</f>
        <v/>
      </c>
      <c r="M38" s="25">
        <f>IF(AND(I38&gt;0,ISNUMBER(H38),H38&gt;0),H38*F38,0)</f>
        <v/>
      </c>
      <c r="N38" s="17">
        <f>IF(COUNTA(B38:H38)=0,"",TRIM(IF(I38=0,"Länge, Breite und Anzahl prüfen. ","")&amp;IF(AND(ISNUMBER(D38),D38/$C$8&gt;$C$5),"Breite größer als Referenzbreite – Fahrzeug prüfen. ","")&amp;IF(AND(ISNUMBER(C38),ISNUMBER(D38),MAX(C38,D38)/$C$8&gt;$C$7),"Länger als Vergleichsfahrzeug. ","")&amp;IF(AND(ISNUMBER(G38),G38&gt;1,I38&gt;0),"Gestapelt gerechnet – Innenhöhe und Sicherung prüfen. ","")))</f>
        <v/>
      </c>
    </row>
    <row r="39">
      <c r="A39" s="26" t="n"/>
      <c r="B39" s="27" t="inlineStr">
        <is>
          <t>Summe</t>
        </is>
      </c>
      <c r="C39" s="26" t="n"/>
      <c r="D39" s="26" t="n"/>
      <c r="E39" s="26" t="n"/>
      <c r="F39" s="26" t="n"/>
      <c r="G39" s="26" t="n"/>
      <c r="H39" s="26" t="n"/>
      <c r="I39" s="28">
        <f>SUM(I14:I38)</f>
        <v/>
      </c>
      <c r="J39" s="29">
        <f>SUM(J14:J38)</f>
        <v/>
      </c>
      <c r="K39" s="29">
        <f>SUM(K14:K38)</f>
        <v/>
      </c>
      <c r="L39" s="29">
        <f>SUM(L14:L38)</f>
        <v/>
      </c>
      <c r="M39" s="30">
        <f>SUM(M14:M38)</f>
        <v/>
      </c>
      <c r="N39" s="26" t="n"/>
    </row>
    <row r="41">
      <c r="A41" s="5" t="inlineStr">
        <is>
          <t>Hinweis: Alle Werte sind rechnerische Planungswerte (Lademeter = Länge × Breite ÷ Referenzbreite × Bodenstellplätze). Sie ersetzen weder Ladeplan, Achslastprüfung noch Ladungssicherung. Abrechnung und Umrechnungsfaktor richten sich nach dem Tarif Ihrer Spedition.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N14:N38">
    <cfRule type="expression" priority="1" dxfId="0">
      <formula>LEN(N14)&gt;0</formula>
    </cfRule>
  </conditionalFormatting>
  <conditionalFormatting sqref="M7">
    <cfRule type="cellIs" priority="2" operator="lessThan" dxfId="0">
      <formula>0</formula>
    </cfRule>
  </conditionalFormatting>
  <dataValidations count="4">
    <dataValidation sqref="C4" showDropDown="0" showInputMessage="0" showErrorMessage="1" allowBlank="0" errorTitle="Maßeinheit" error="Bitte mm, cm oder m wählen." type="list">
      <formula1>"mm,cm,m"</formula1>
    </dataValidation>
    <dataValidation sqref="C5 C6 C7 C14:E38 H14:H38" showDropDown="0" showInputMessage="0" showErrorMessage="1" allowBlank="1" errorTitle="Ungültiger Wert" error="Bitte eine Zahl größer 0 eingeben." type="decimal" operator="greaterThan">
      <formula1>0</formula1>
    </dataValidation>
    <dataValidation sqref="F14:F38" showDropDown="0" showInputMessage="0" showErrorMessage="1" allowBlank="1" errorTitle="Anzahl" error="Bitte eine ganze Zahl ab 1 eingeben." type="whole" operator="between">
      <formula1>1</formula1>
      <formula2>99999</formula2>
    </dataValidation>
    <dataValidation sqref="G14:G38" showDropDown="0" showInputMessage="0" showErrorMessage="1" allowBlank="1" errorTitle="Stapellagen" error="Bitte 1 bis 10 eingeben (1 = nicht stapelbar)." type="whole" operator="between">
      <formula1>1</formula1>
      <formula2>10</formula2>
    </dataValidation>
  </dataValidations>
  <pageMargins left="0.75" right="0.75" top="1" bottom="1" header="0.5" footer="0.5"/>
  <pageSetup orientation="landscape" paperSize="9" fitToHeight="0" fitToWidth="1"/>
  <headerFooter>
    <oddHeader>&amp;Clademeter-rechner.de – Lademeter-Vorlage</oddHeader>
    <oddFooter>&amp;CSeite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7" customWidth="1" min="4" max="4"/>
    <col width="17" customWidth="1" min="5" max="5"/>
    <col width="19" customWidth="1" min="6" max="6"/>
    <col width="3" customWidth="1" min="7" max="7"/>
  </cols>
  <sheetData>
    <row r="1">
      <c r="A1" s="1" t="inlineStr">
        <is>
          <t>Referenz: Lademeter gängiger Ladeeinheiten</t>
        </is>
      </c>
    </row>
    <row r="2">
      <c r="A2" s="5" t="inlineStr">
        <is>
          <t>Maße in mm (blau = änderbar). Rechenweg: Länge × Breite ÷ Referenzbreite (Rechner!C5, Standard 2,40 m).</t>
        </is>
      </c>
    </row>
    <row r="4" ht="32" customHeight="1">
      <c r="A4" s="19" t="inlineStr">
        <is>
          <t>Ladeeinheit</t>
        </is>
      </c>
      <c r="B4" s="19" t="inlineStr">
        <is>
          <t>Länge (mm)</t>
        </is>
      </c>
      <c r="C4" s="19" t="inlineStr">
        <is>
          <t>Breite (mm)</t>
        </is>
      </c>
      <c r="D4" s="19" t="inlineStr">
        <is>
          <t>Grundfläche (m²)</t>
        </is>
      </c>
      <c r="E4" s="19" t="inlineStr">
        <is>
          <t>Lademeter je Stück</t>
        </is>
      </c>
      <c r="F4" s="19" t="inlineStr">
        <is>
          <t>Stück je Lademeter</t>
        </is>
      </c>
    </row>
    <row r="5">
      <c r="A5" s="31" t="inlineStr">
        <is>
          <t>Europalette</t>
        </is>
      </c>
      <c r="B5" s="32" t="n">
        <v>1200</v>
      </c>
      <c r="C5" s="32" t="n">
        <v>800</v>
      </c>
      <c r="D5" s="33">
        <f>IF(AND(ISNUMBER(B5),ISNUMBER(C5)),B5/1000*C5/1000,"")</f>
        <v/>
      </c>
      <c r="E5" s="34">
        <f>IF(ISNUMBER(D5),D5/Rechner!$C$5,"")</f>
        <v/>
      </c>
      <c r="F5" s="33">
        <f>IF(ISNUMBER(E5),1/E5,"")</f>
        <v/>
      </c>
    </row>
    <row r="6">
      <c r="A6" s="31" t="inlineStr">
        <is>
          <t>Industriepalette</t>
        </is>
      </c>
      <c r="B6" s="32" t="n">
        <v>1200</v>
      </c>
      <c r="C6" s="32" t="n">
        <v>1000</v>
      </c>
      <c r="D6" s="33">
        <f>IF(AND(ISNUMBER(B6),ISNUMBER(C6)),B6/1000*C6/1000,"")</f>
        <v/>
      </c>
      <c r="E6" s="34">
        <f>IF(ISNUMBER(D6),D6/Rechner!$C$5,"")</f>
        <v/>
      </c>
      <c r="F6" s="33">
        <f>IF(ISNUMBER(E6),1/E6,"")</f>
        <v/>
      </c>
    </row>
    <row r="7">
      <c r="A7" s="31" t="inlineStr">
        <is>
          <t>Halbpalette (Düsseldorfer)</t>
        </is>
      </c>
      <c r="B7" s="32" t="n">
        <v>800</v>
      </c>
      <c r="C7" s="32" t="n">
        <v>600</v>
      </c>
      <c r="D7" s="33">
        <f>IF(AND(ISNUMBER(B7),ISNUMBER(C7)),B7/1000*C7/1000,"")</f>
        <v/>
      </c>
      <c r="E7" s="34">
        <f>IF(ISNUMBER(D7),D7/Rechner!$C$5,"")</f>
        <v/>
      </c>
      <c r="F7" s="33">
        <f>IF(ISNUMBER(E7),1/E7,"")</f>
        <v/>
      </c>
    </row>
    <row r="8">
      <c r="A8" s="31" t="inlineStr">
        <is>
          <t>eigene Ladeeinheit</t>
        </is>
      </c>
      <c r="B8" s="32" t="n"/>
      <c r="C8" s="32" t="n"/>
      <c r="D8" s="33">
        <f>IF(AND(ISNUMBER(B8),ISNUMBER(C8)),B8/1000*C8/1000,"")</f>
        <v/>
      </c>
      <c r="E8" s="34">
        <f>IF(ISNUMBER(D8),D8/Rechner!$C$5,"")</f>
        <v/>
      </c>
      <c r="F8" s="33">
        <f>IF(ISNUMBER(E8),1/E8,"")</f>
        <v/>
      </c>
    </row>
    <row r="10">
      <c r="A10" s="6" t="inlineStr">
        <is>
          <t>Lademeter für mehrere Ladeeinheiten (nicht gestapelt)</t>
        </is>
      </c>
    </row>
    <row r="11" ht="32" customHeight="1">
      <c r="A11" s="19" t="inlineStr">
        <is>
          <t>Anzahl</t>
        </is>
      </c>
      <c r="B11" s="19" t="inlineStr">
        <is>
          <t>Europaletten (ldm)</t>
        </is>
      </c>
      <c r="C11" s="19" t="inlineStr">
        <is>
          <t>Industriepaletten (ldm)</t>
        </is>
      </c>
      <c r="D11" s="19" t="inlineStr">
        <is>
          <t>Halbpaletten (ldm)</t>
        </is>
      </c>
    </row>
    <row r="12">
      <c r="A12" s="35" t="n">
        <v>1</v>
      </c>
      <c r="B12" s="33">
        <f>ROUND($A12*$E$5,2)</f>
        <v/>
      </c>
      <c r="C12" s="33">
        <f>ROUND($A12*$E$6,2)</f>
        <v/>
      </c>
      <c r="D12" s="33">
        <f>ROUND($A12*$E$7,2)</f>
        <v/>
      </c>
    </row>
    <row r="13">
      <c r="A13" s="35" t="n">
        <v>2</v>
      </c>
      <c r="B13" s="33">
        <f>ROUND($A13*$E$5,2)</f>
        <v/>
      </c>
      <c r="C13" s="33">
        <f>ROUND($A13*$E$6,2)</f>
        <v/>
      </c>
      <c r="D13" s="33">
        <f>ROUND($A13*$E$7,2)</f>
        <v/>
      </c>
    </row>
    <row r="14">
      <c r="A14" s="35" t="n">
        <v>4</v>
      </c>
      <c r="B14" s="33">
        <f>ROUND($A14*$E$5,2)</f>
        <v/>
      </c>
      <c r="C14" s="33">
        <f>ROUND($A14*$E$6,2)</f>
        <v/>
      </c>
      <c r="D14" s="33">
        <f>ROUND($A14*$E$7,2)</f>
        <v/>
      </c>
    </row>
    <row r="15">
      <c r="A15" s="35" t="n">
        <v>5</v>
      </c>
      <c r="B15" s="33">
        <f>ROUND($A15*$E$5,2)</f>
        <v/>
      </c>
      <c r="C15" s="33">
        <f>ROUND($A15*$E$6,2)</f>
        <v/>
      </c>
      <c r="D15" s="33">
        <f>ROUND($A15*$E$7,2)</f>
        <v/>
      </c>
    </row>
    <row r="16">
      <c r="A16" s="35" t="n">
        <v>8</v>
      </c>
      <c r="B16" s="33">
        <f>ROUND($A16*$E$5,2)</f>
        <v/>
      </c>
      <c r="C16" s="33">
        <f>ROUND($A16*$E$6,2)</f>
        <v/>
      </c>
      <c r="D16" s="33">
        <f>ROUND($A16*$E$7,2)</f>
        <v/>
      </c>
    </row>
    <row r="17">
      <c r="A17" s="35" t="n">
        <v>10</v>
      </c>
      <c r="B17" s="33">
        <f>ROUND($A17*$E$5,2)</f>
        <v/>
      </c>
      <c r="C17" s="33">
        <f>ROUND($A17*$E$6,2)</f>
        <v/>
      </c>
      <c r="D17" s="33">
        <f>ROUND($A17*$E$7,2)</f>
        <v/>
      </c>
    </row>
    <row r="18">
      <c r="A18" s="35" t="n">
        <v>15</v>
      </c>
      <c r="B18" s="33">
        <f>ROUND($A18*$E$5,2)</f>
        <v/>
      </c>
      <c r="C18" s="33">
        <f>ROUND($A18*$E$6,2)</f>
        <v/>
      </c>
      <c r="D18" s="33">
        <f>ROUND($A18*$E$7,2)</f>
        <v/>
      </c>
    </row>
    <row r="19">
      <c r="A19" s="35" t="n">
        <v>20</v>
      </c>
      <c r="B19" s="33">
        <f>ROUND($A19*$E$5,2)</f>
        <v/>
      </c>
      <c r="C19" s="33">
        <f>ROUND($A19*$E$6,2)</f>
        <v/>
      </c>
      <c r="D19" s="33">
        <f>ROUND($A19*$E$7,2)</f>
        <v/>
      </c>
    </row>
    <row r="20">
      <c r="A20" s="35" t="n">
        <v>26</v>
      </c>
      <c r="B20" s="33">
        <f>ROUND($A20*$E$5,2)</f>
        <v/>
      </c>
      <c r="C20" s="33">
        <f>ROUND($A20*$E$6,2)</f>
        <v/>
      </c>
      <c r="D20" s="33">
        <f>ROUND($A20*$E$7,2)</f>
        <v/>
      </c>
    </row>
    <row r="21">
      <c r="A21" s="35" t="n">
        <v>33</v>
      </c>
      <c r="B21" s="33">
        <f>ROUND($A21*$E$5,2)</f>
        <v/>
      </c>
      <c r="C21" s="33">
        <f>ROUND($A21*$E$6,2)</f>
        <v/>
      </c>
      <c r="D21" s="33">
        <f>ROUND($A21*$E$7,2)</f>
        <v/>
      </c>
    </row>
    <row r="22">
      <c r="A22" s="35" t="n">
        <v>34</v>
      </c>
      <c r="B22" s="33">
        <f>ROUND($A22*$E$5,2)</f>
        <v/>
      </c>
      <c r="C22" s="33">
        <f>ROUND($A22*$E$6,2)</f>
        <v/>
      </c>
      <c r="D22" s="33">
        <f>ROUND($A22*$E$7,2)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Hinweise, Quellen und Lizenz</t>
        </is>
      </c>
    </row>
    <row r="3">
      <c r="A3" s="3" t="inlineStr">
        <is>
          <t>Methode</t>
        </is>
      </c>
    </row>
    <row r="4" ht="45" customHeight="1">
      <c r="A4" s="2" t="inlineStr">
        <is>
          <t>Die Vorlage bildet die Rechenkerne des Online-Rechners auf lademeter-rechner.de nach. Der Rechenweg (Referenzbreite 2,40 m, Bodenstellplätze, Lademetergewicht, frachtpflichtiges Gewicht) ist auf der Seite „Berechnungsgrundlagen“ dokumentiert.</t>
        </is>
      </c>
    </row>
    <row r="5" ht="15" customHeight="1">
      <c r="A5" s="36" t="inlineStr">
        <is>
          <t>https://lademeter-rechner.de/methodik/</t>
        </is>
      </c>
    </row>
    <row r="6" ht="45" customHeight="1">
      <c r="A6" s="2" t="inlineStr">
        <is>
          <t>Es gibt keine Norm, die die Lademeter-Formel festlegt. Es handelt sich um eine Branchenkonvention, die Speditionen unterschiedlich anwenden. Maßgeblich sind immer die Angaben und Tarife der beauftragten Spedition.</t>
        </is>
      </c>
    </row>
    <row r="7">
      <c r="A7" s="3" t="inlineStr">
        <is>
          <t>Verifikation</t>
        </is>
      </c>
    </row>
    <row r="8" ht="60" customHeight="1">
      <c r="A8" s="2" t="inlineStr">
        <is>
          <t>Die Formeln dieser Vorlage wurden am 20.10.2026 mit automatisierten Testfällen gegen die Rechenkerne des Online-Rechners abgeglichen (verschiedene Einheiten, Stapellagen, unvollständige Positionen, Faktor mit und ohne Gewicht). Die Ergebnisse stimmen überein. Dies ist eine technische Prüfung der Rechnung, keine Haftungszusage für den Einzelfall.</t>
        </is>
      </c>
    </row>
    <row r="9">
      <c r="A9" s="3" t="inlineStr">
        <is>
          <t>Weiterführende Quellen (Begriffserklärungen)</t>
        </is>
      </c>
    </row>
    <row r="10" ht="15" customHeight="1">
      <c r="A10" s="36" t="inlineStr">
        <is>
          <t>https://de.wikipedia.org/wiki/Lademeter</t>
        </is>
      </c>
    </row>
    <row r="11" ht="15" customHeight="1">
      <c r="A11" s="36" t="inlineStr">
        <is>
          <t>https://www.chemie.de/lexikon/Lademeter.html</t>
        </is>
      </c>
    </row>
    <row r="12">
      <c r="A12" s="3" t="inlineStr">
        <is>
          <t>Haftung</t>
        </is>
      </c>
    </row>
    <row r="13" ht="30" customHeight="1">
      <c r="A13" s="2" t="inlineStr">
        <is>
          <t>Alle Angaben ohne Gewähr. Die Vorlage dient der ersten Orientierung und ersetzt keine verbindliche Ladeplanung inklusive Ladungssicherung, Achslastprüfung und rechtlicher Vorgaben.</t>
        </is>
      </c>
    </row>
    <row r="14">
      <c r="A14" s="3" t="inlineStr">
        <is>
          <t>Lizenz und Weitergabe</t>
        </is>
      </c>
    </row>
    <row r="15" ht="30" customHeight="1">
      <c r="A15" s="2" t="inlineStr">
        <is>
          <t>© 2026 lademeter-rechner.de. Nutzung, Weitergabe und Anpassung sind erlaubt (CC BY 4.0), wenn die Quelle „lademeter-rechner.de“ genannt wird. Lizenztext: https://creativecommons.org/licenses/by/4.0/deed.de</t>
        </is>
      </c>
    </row>
    <row r="16">
      <c r="A16" s="3" t="inlineStr">
        <is>
          <t>Änderungsprotokoll</t>
        </is>
      </c>
    </row>
    <row r="17" ht="15" customHeight="1">
      <c r="A17" s="2" t="inlineStr">
        <is>
          <t>Version 1.0 (20.10.2026): erste Veröffentlichung.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10" r:id="rId2"/>
    <hyperlink xmlns:r="http://schemas.openxmlformats.org/officeDocument/2006/relationships" ref="A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lademeter-rechner.de</dc:creator>
  <dc:title xmlns:dc="http://purl.org/dc/elements/1.1/">Lademeter berechnen – Excel-Vorlage</dc:title>
  <dc:description xmlns:dc="http://purl.org/dc/elements/1.1/">Kostenlose Excel-Vorlage zur Berechnung von Lademetern, Bodenstellplätzen und frachtpflichtigem Gewicht.</dc:description>
  <dcterms:created xmlns:dcterms="http://purl.org/dc/terms/" xmlns:xsi="http://www.w3.org/2001/XMLSchema-instance" xsi:type="dcterms:W3CDTF">2026-10-20T15:18:51Z</dcterms:created>
  <dcterms:modified xmlns:dcterms="http://purl.org/dc/terms/" xmlns:xsi="http://www.w3.org/2001/XMLSchema-instance" xsi:type="dcterms:W3CDTF">2026-10-20T15:18:51Z</dcterms:modified>
  <cp:keywords>Lademeter, Excel, Vorlage, Palette, LKW</cp:keywords>
</cp:coreProperties>
</file>